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ASHRAE Climate Library" sheetId="3" state="visible" r:id="rId5"/>
    <sheet name="Thermal Hydraulics &amp; MLC" sheetId="4" state="visible" r:id="rId6"/>
    <sheet name="Pro Forma Financials" sheetId="5" state="visible" r:id="rId7"/>
    <sheet name="Unit Economics &amp; KPIs" sheetId="6" state="visible" r:id="rId8"/>
    <sheet name="Sensitivity Engine" sheetId="7" state="visible" r:id="rId9"/>
    <sheet name="Sensitivity Matri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<sst xmlns="http://schemas.openxmlformats.org/spreadsheetml/2006/main" count="558" uniqueCount="385">
  <si>
    <t xml:space="preserve">AI Factory Dashboard — 32x Vera Rubin NVL72, Abu Dhabi, UAE</t>
  </si>
  <si>
    <t xml:space="preserve">Headline KPIs, all live-linked; edit assumptions on 'Control Panel &amp; Inputs'</t>
  </si>
  <si>
    <t xml:space="preserve">KPI</t>
  </si>
  <si>
    <t xml:space="preserve">Value</t>
  </si>
  <si>
    <t xml:space="preserve">Unit</t>
  </si>
  <si>
    <t xml:space="preserve">Source Sheet</t>
  </si>
  <si>
    <t xml:space="preserve">Equity IRR (levered)</t>
  </si>
  <si>
    <t xml:space="preserve">%</t>
  </si>
  <si>
    <t xml:space="preserve">Pro Forma Financials</t>
  </si>
  <si>
    <t xml:space="preserve">Project IRR (unlevered)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</si>
  <si>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</si>
  <si>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</si>
  <si>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</si>
  <si>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</si>
  <si>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</si>
  <si>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</si>
  <si>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Year 1 Gross Revenue</t>
  </si>
  <si>
    <t xml:space="preserve">Year 1 EBITDA</t>
  </si>
  <si>
    <t xml:space="preserve">Year 1 EBITDA Margin</t>
  </si>
  <si>
    <t xml:space="preserve">Minimum DSCR</t>
  </si>
  <si>
    <t xml:space="preserve">Peak MLC vs ASHRAE 90.4</t>
  </si>
  <si>
    <t xml:space="preserve">(limit 0.260)</t>
  </si>
  <si>
    <t xml:space="preserve">Thermal Hydraulics &amp; MLC</t>
  </si>
  <si>
    <t xml:space="preserve">MLC Compliance Margin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</si>
  <si>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</si>
  <si>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</si>
  <si>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</si>
  <si>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</si>
  <si>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</si>
  <si>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</si>
  <si>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</si>
  <si>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</si>
  <si>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</si>
  <si>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</si>
  <si>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</si>
  <si>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</si>
  <si>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</si>
  <si>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</si>
  <si>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</si>
  <si>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</si>
  <si>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</si>
  <si>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</si>
  <si>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Location / ASHRAE 169 Zone</t>
  </si>
  <si>
    <t xml:space="preserve">Control Panel &amp; Inputs</t>
  </si>
  <si>
    <t xml:space="preserve">ASHRAE 90.4 MLC Limit (location)</t>
  </si>
  <si>
    <t xml:space="preserve">(design max)</t>
  </si>
  <si>
    <t xml:space="preserve">NVIDIA Vera Rubin NVL72 AI Factory — Abu Dhabi, UAE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</si>
  <si>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</si>
  <si>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</si>
  <si>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</si>
  <si>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</si>
  <si>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</si>
  <si>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</si>
  <si>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</si>
  <si>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</si>
  <si>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</si>
  <si>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</si>
  <si>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</si>
  <si>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</si>
  <si>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</si>
  <si>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</si>
  <si>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</si>
  <si>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</si>
  <si>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</si>
  <si>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</si>
  <si>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</si>
  <si>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</si>
  <si>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</si>
  <si>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</si>
  <si>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</si>
  <si>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</si>
  <si>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VR_Rack_Count</t>
  </si>
  <si>
    <t xml:space="preserve">racks</t>
  </si>
  <si>
    <t xml:space="preserve">Vera Rubin NVL72 compute racks</t>
  </si>
  <si>
    <t xml:space="preserve">VR_Rack_Power_kW</t>
  </si>
  <si>
    <t xml:space="preserve">kW/rack</t>
  </si>
  <si>
    <t xml:space="preserve">Compute &amp; scale-up busbar load per VR rack</t>
  </si>
  <si>
    <t xml:space="preserve">VR_Cooling_Type</t>
  </si>
  <si>
    <t xml:space="preserve">Liquid</t>
  </si>
  <si>
    <t xml:space="preserve">Liquid/Air</t>
  </si>
  <si>
    <t xml:space="preserve">S45 direct-to-chip liquid loop</t>
  </si>
  <si>
    <t xml:space="preserve">Network_Rack_Count</t>
  </si>
  <si>
    <t xml:space="preserve">Scale-out network fabric racks</t>
  </si>
  <si>
    <t xml:space="preserve">Network_Rack_Power_kW</t>
  </si>
  <si>
    <t xml:space="preserve">Switching + optics load per network rack</t>
  </si>
  <si>
    <t xml:space="preserve">Network_Cooling_Type</t>
  </si>
  <si>
    <t xml:space="preserve">Air</t>
  </si>
  <si>
    <t xml:space="preserve">Hot-aisle containment air cooling</t>
  </si>
  <si>
    <t xml:space="preserve">Storage_Rack_Count</t>
  </si>
  <si>
    <t xml:space="preserve">NVMe object/block storage racks</t>
  </si>
  <si>
    <t xml:space="preserve">Storage_Rack_Power_kW</t>
  </si>
  <si>
    <t xml:space="preserve">Load per storage rack</t>
  </si>
  <si>
    <t xml:space="preserve">Storage_Cooling_Type</t>
  </si>
  <si>
    <t xml:space="preserve">GPUs_Per_Rack</t>
  </si>
  <si>
    <t xml:space="preserve">NVL72 = 72 Rubin GPUs per VR compute rack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</si>
  <si>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</si>
  <si>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</si>
  <si>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</si>
  <si>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</si>
  <si>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</si>
  <si>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</si>
  <si>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</si>
  <si>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Liquid_Return_Temp_FWR</t>
  </si>
  <si>
    <t xml:space="preserve">Facility water return — sets the loop delta-T</t>
  </si>
  <si>
    <t xml:space="preserve">Coolant_Specific_Heat</t>
  </si>
  <si>
    <t xml:space="preserve">kJ/kg·K</t>
  </si>
  <si>
    <t xml:space="preserve">Assumption: PG25 water/glycol at ~50°C</t>
  </si>
  <si>
    <t xml:space="preserve">Coolant_Density</t>
  </si>
  <si>
    <t xml:space="preserve">kg/L</t>
  </si>
  <si>
    <t xml:space="preserve">Assumption: PG25 mixture density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</si>
  <si>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</si>
  <si>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</si>
  <si>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</si>
  <si>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</si>
  <si>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</si>
  <si>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</si>
  <si>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</si>
  <si>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</si>
  <si>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</si>
  <si>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</si>
  <si>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</si>
  <si>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</si>
  <si>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</si>
  <si>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</si>
  <si>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</si>
  <si>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</si>
  <si>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</si>
  <si>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</si>
  <si>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Total turnkey deployment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</si>
  <si>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</si>
  <si>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</si>
  <si>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</si>
  <si>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</si>
  <si>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</si>
  <si>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</si>
  <si>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</si>
  <si>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</si>
  <si>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</si>
  <si>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Model_Horizon_Years</t>
  </si>
  <si>
    <t xml:space="preserve">Pro forma &amp; sensitivity horizon — STRUCTURAL: regenerate the workbook to change (year columns are created at build time)</t>
  </si>
  <si>
    <t xml:space="preserve">Depreciation_Life_Years</t>
  </si>
  <si>
    <t xml:space="preserve">Straight-line depreciation life for the CapEx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</si>
  <si>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</si>
  <si>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</si>
  <si>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</si>
  <si>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</si>
  <si>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</si>
  <si>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</si>
  <si>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</si>
  <si>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USD/yr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</si>
  <si>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</si>
  <si>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</si>
  <si>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</si>
  <si>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</si>
  <si>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</si>
  <si>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</si>
  <si>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</si>
  <si>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</si>
  <si>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</si>
  <si>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</si>
  <si>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</si>
  <si>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</si>
  <si>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</si>
  <si>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</si>
  <si>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</si>
  <si>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</si>
  <si>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</si>
  <si>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</si>
  <si>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</si>
  <si>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</si>
  <si>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</si>
  <si>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</si>
  <si>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</si>
  <si>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</si>
  <si>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</si>
  <si>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</si>
  <si>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</si>
  <si>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</si>
  <si>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</si>
  <si>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</si>
  <si>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</si>
  <si>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</si>
  <si>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</si>
  <si>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</si>
  <si>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</si>
  <si>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</si>
  <si>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</si>
  <si>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</si>
  <si>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</si>
  <si>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</si>
  <si>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</si>
  <si>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</si>
  <si>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</si>
  <si>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</si>
  <si>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</si>
  <si>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</si>
  <si>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</si>
  <si>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</si>
  <si>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</si>
  <si>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</si>
  <si>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</si>
  <si>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</si>
  <si>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</si>
  <si>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</si>
  <si>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</si>
  <si>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</si>
  <si>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</si>
  <si>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</si>
  <si>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</si>
  <si>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</si>
  <si>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</si>
  <si>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</si>
  <si>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</si>
  <si>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</si>
  <si>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</si>
  <si>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</si>
  <si>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</si>
  <si>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</si>
  <si>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</si>
  <si>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</si>
  <si>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</si>
  <si>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</si>
  <si>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</si>
  <si>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</si>
  <si>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</si>
  <si>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</t>
  </si>
  <si>
    <t xml:space="preserve">S45 Loop Delta T</t>
  </si>
  <si>
    <t xml:space="preserve">Hydraulic temperature split</t>
  </si>
  <si>
    <t xml:space="preserve">S45 Liquid Flow Rate per VR Rack</t>
  </si>
  <si>
    <t xml:space="preserve">LPM</t>
  </si>
  <si>
    <t xml:space="preserve">Physics: Q/(rho*Cp*dT)*60 — flow required to absorb one VR rack</t>
  </si>
  <si>
    <t xml:space="preserve">Total S45 Cluster Flow Rate</t>
  </si>
  <si>
    <t xml:space="preserve">Physics: liquid-cooled load/(rho*Cp*dT)*60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</si>
  <si>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</si>
  <si>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</si>
  <si>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</si>
  <si>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</si>
  <si>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</si>
  <si>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</si>
  <si>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</si>
  <si>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</si>
  <si>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</si>
  <si>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</si>
  <si>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</si>
  <si>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</si>
  <si>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</si>
  <si>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</si>
  <si>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</si>
  <si>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</si>
  <si>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</si>
  <si>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</si>
  <si>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</si>
  <si>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</si>
  <si>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</si>
  <si>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</si>
  <si>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</si>
  <si>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</si>
  <si>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</si>
  <si>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</si>
  <si>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</si>
  <si>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</si>
  <si>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</si>
  <si>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</si>
  <si>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</si>
  <si>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</si>
  <si>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</si>
  <si>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</si>
  <si>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</si>
  <si>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</si>
  <si>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</si>
  <si>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</si>
  <si>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</si>
  <si>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</si>
  <si>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</si>
  <si>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</si>
  <si>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</si>
  <si>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</si>
  <si>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</si>
  <si>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</si>
  <si>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</si>
  <si>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</si>
  <si>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</si>
  <si>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</si>
  <si>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</si>
  <si>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</si>
  <si>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</si>
  <si>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</si>
  <si>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</si>
  <si>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</si>
  <si>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</si>
  <si>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</si>
  <si>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</si>
  <si>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</si>
  <si>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</si>
  <si>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</si>
  <si>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</si>
  <si>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</si>
  <si>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</si>
  <si>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</si>
  <si>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</si>
  <si>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</si>
  <si>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</si>
  <si>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</si>
  <si>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</si>
  <si>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</si>
  <si>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</si>
  <si>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</si>
  <si>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</si>
  <si>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</si>
  <si>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</si>
  <si>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</si>
  <si>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</si>
  <si>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</si>
  <si>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</si>
  <si>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</si>
  <si>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</si>
  <si>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</si>
  <si>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</si>
  <si>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</si>
  <si>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</si>
  <si>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</si>
  <si>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</si>
  <si>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</si>
  <si>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</si>
  <si>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</si>
  <si>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</si>
  <si>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</si>
  <si>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</si>
  <si>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</si>
  <si>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</si>
  <si>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</si>
  <si>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</si>
  <si>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</si>
  <si>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</si>
  <si>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 over 5 Years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</si>
  <si>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</si>
  <si>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</si>
  <si>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</si>
  <si>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</si>
  <si>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</si>
  <si>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</si>
  <si>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</si>
  <si>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</si>
  <si>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</si>
  <si>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</si>
  <si>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</si>
  <si>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</si>
  <si>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</si>
  <si>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</si>
  <si>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</si>
  <si>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$0.04/kWh @ 50% debt</t>
  </si>
  <si>
    <t xml:space="preserve">$0.04/kWh @ 60% debt</t>
  </si>
  <si>
    <t xml:space="preserve">$0.04/kWh @ 70% debt</t>
  </si>
  <si>
    <t xml:space="preserve">$0.04/kWh @ 80% debt</t>
  </si>
  <si>
    <t xml:space="preserve">$0.06/kWh @ 50% debt</t>
  </si>
  <si>
    <t xml:space="preserve">$0.06/kWh @ 60% debt</t>
  </si>
  <si>
    <t xml:space="preserve">$0.06/kWh @ 70% debt</t>
  </si>
  <si>
    <t xml:space="preserve">$0.06/kWh @ 80% debt</t>
  </si>
  <si>
    <t xml:space="preserve">$0.08/kWh @ 50% debt</t>
  </si>
  <si>
    <t xml:space="preserve">$0.08/kWh @ 60% debt</t>
  </si>
  <si>
    <t xml:space="preserve">$0.08/kWh @ 70% debt</t>
  </si>
  <si>
    <t xml:space="preserve">$0.08/kWh @ 80% debt</t>
  </si>
  <si>
    <t xml:space="preserve">$0.10/kWh @ 50% debt</t>
  </si>
  <si>
    <t xml:space="preserve">$0.10/kWh @ 60% debt</t>
  </si>
  <si>
    <t xml:space="preserve">$0.10/kWh @ 70% debt</t>
  </si>
  <si>
    <t xml:space="preserve">$0.10/kWh @ 80% debt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</si>
  <si>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</si>
  <si>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</si>
  <si>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</si>
  <si>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</si>
  <si>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</si>
  <si>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</si>
  <si>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</si>
  <si>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</si>
  <si>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</si>
  <si>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</si>
  <si>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50% Debt</t>
  </si>
  <si>
    <t xml:space="preserve">60% Debt</t>
  </si>
  <si>
    <t xml:space="preserve">70% Debt</t>
  </si>
  <si>
    <t xml:space="preserve">80% Debt</t>
  </si>
  <si>
    <t xml:space="preserve">$0.04 / kWh</t>
  </si>
  <si>
    <t xml:space="preserve">$0.06 / kWh</t>
  </si>
  <si>
    <t xml:space="preserve">$0.08 / kWh</t>
  </si>
  <si>
    <t xml:space="preserve">$0.10 / kWh</t>
  </si>
  <si>
    <t xml:space="preserve">Matrix 2: Average Debt Service Coverage Ratio (DSCR)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</si>
</sst>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#,##0"/>
    <numFmt numFmtId="171" formatCode="\$#,##0.00"/>
    <numFmt numFmtId="172" formatCode="\$#,##0.000"/>
    <numFmt numFmtId="173" formatCode="@"/>
    <numFmt numFmtId="174" formatCode="#,##0.0"/>
    <numFmt numFmtId="175" formatCode="0.00"/>
    <numFmt numFmtId="176" formatCode="0.00%"/>
    <numFmt numFmtId="177" formatCode="\$#,##0.0000"/>
    <numFmt numFmtId="17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2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'Pro Forma Financials'!B36</f>
        <v>1.26506825092475</v>
      </c>
      <c r="C5" s="6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5" t="n">
        <f aca="false">'Pro Forma Financials'!B37</f>
        <v>0.37548919844065</v>
      </c>
      <c r="C6" s="6" t="s">
        <v>7</v>
      </c>
      <c r="D6" s="7" t="s">
        <v>8</v>
      </c>
    </row>
    <row r="7" customFormat="false" ht="15" hidden="false" customHeight="false" outlineLevel="0" collapsed="false">
      <c r="A7" s="4" t="s">
        <v>10</v>
      </c>
      <c r="B7" s="8" t="n">
        <f aca="false">'Pro Forma Financials'!B38</f>
        <v>109809242.3148</v>
      </c>
      <c r="C7" s="6" t="s">
        <v>11</v>
      </c>
      <c r="D7" s="7" t="s">
        <v>8</v>
      </c>
    </row>
    <row r="8" customFormat="false" ht="15" hidden="false" customHeight="false" outlineLevel="0" collapsed="false">
      <c r="A8" s="4" t="s">
        <v>12</v>
      </c>
      <c r="B8" s="9" t="n">
        <f aca="false">'Pro Forma Financials'!B39</f>
        <v>7.62528539619498</v>
      </c>
      <c r="C8" s="6" t="s">
        <v>13</v>
      </c>
      <c r="D8" s="7" t="s">
        <v>8</v>
      </c>
    </row>
    <row r="9" customFormat="false" ht="15" hidden="false" customHeight="false" outlineLevel="0" collapsed="false">
      <c r="A9" s="4" t="s">
        <v>14</v>
      </c>
      <c r="B9" s="10" t="n">
        <f aca="false">'Pro Forma Financials'!B40</f>
        <v>0.8830065001128</v>
      </c>
      <c r="C9" s="6" t="s">
        <v>15</v>
      </c>
      <c r="D9" s="7" t="s">
        <v>8</v>
      </c>
    </row>
    <row r="10" customFormat="false" ht="15" hidden="false" customHeight="false" outlineLevel="0" collapsed="false">
      <c r="A10" s="4" t="s">
        <v>16</v>
      </c>
      <c r="B10" s="11" t="n">
        <f aca="false">'Pro Forma Financials'!C$8</f>
        <v>75600000</v>
      </c>
      <c r="C10" s="6" t="s">
        <v>11</v>
      </c>
      <c r="D10" s="7" t="s">
        <v>8</v>
      </c>
    </row>
    <row r="11" customFormat="false" ht="15" hidden="false" customHeight="false" outlineLevel="0" collapsed="false">
      <c r="A11" s="4" t="s">
        <v>17</v>
      </c>
      <c r="B11" s="11" t="n">
        <f aca="false">'Pro Forma Financials'!C$14</f>
        <v>60755550.321856</v>
      </c>
      <c r="C11" s="6" t="s">
        <v>11</v>
      </c>
      <c r="D11" s="7" t="s">
        <v>8</v>
      </c>
    </row>
    <row r="12" customFormat="false" ht="15" hidden="false" customHeight="false" outlineLevel="0" collapsed="false">
      <c r="A12" s="4" t="s">
        <v>18</v>
      </c>
      <c r="B12" s="12" t="n">
        <f aca="false">'Pro Forma Financials'!C$15</f>
        <v>0.803644845527196</v>
      </c>
      <c r="C12" s="6" t="s">
        <v>7</v>
      </c>
      <c r="D12" s="7" t="s">
        <v>8</v>
      </c>
    </row>
    <row r="13" customFormat="false" ht="15" hidden="false" customHeight="false" outlineLevel="0" collapsed="false">
      <c r="A13" s="4" t="s">
        <v>19</v>
      </c>
      <c r="B13" s="13" t="n">
        <f aca="false">'Pro Forma Financials'!B41</f>
        <v>2.26237088911618</v>
      </c>
      <c r="C13" s="6" t="s">
        <v>13</v>
      </c>
      <c r="D13" s="7" t="s">
        <v>8</v>
      </c>
    </row>
    <row r="14" customFormat="false" ht="15" hidden="false" customHeight="false" outlineLevel="0" collapsed="false">
      <c r="A14" s="4" t="s">
        <v>20</v>
      </c>
      <c r="B14" s="14" t="n">
        <f aca="false">'Thermal Hydraulics &amp; MLC'!$B$23</f>
        <v>0.0778315585672798</v>
      </c>
      <c r="C14" s="6" t="s">
        <v>21</v>
      </c>
      <c r="D14" s="7" t="s">
        <v>22</v>
      </c>
    </row>
    <row r="15" customFormat="false" ht="15" hidden="false" customHeight="false" outlineLevel="0" collapsed="false">
      <c r="A15" s="4" t="s">
        <v>23</v>
      </c>
      <c r="B15" s="12" t="n">
        <f aca="false">'Thermal Hydraulics &amp; MLC'!$B$25</f>
        <v>0.700647851664309</v>
      </c>
      <c r="C15" s="6" t="s">
        <v>7</v>
      </c>
      <c r="D15" s="7" t="s">
        <v>22</v>
      </c>
    </row>
    <row r="16" customFormat="false" ht="15" hidden="false" customHeight="false" outlineLevel="0" collapsed="false">
      <c r="A16" s="4" t="s">
        <v>24</v>
      </c>
      <c r="B16" s="15" t="n">
        <f aca="false">'Thermal Hydraulics &amp; MLC'!$B$28</f>
        <v>66124.1613024</v>
      </c>
      <c r="C16" s="6" t="s">
        <v>25</v>
      </c>
      <c r="D16" s="7" t="s">
        <v>22</v>
      </c>
    </row>
    <row r="17" customFormat="false" ht="15" hidden="false" customHeight="false" outlineLevel="0" collapsed="false">
      <c r="A17" s="4" t="s">
        <v>26</v>
      </c>
      <c r="B17" s="15" t="n">
        <f aca="false">'Thermal Hydraulics &amp; MLC'!$B$30</f>
        <v>25788.422907936</v>
      </c>
      <c r="C17" s="6" t="s">
        <v>27</v>
      </c>
      <c r="D17" s="7" t="s">
        <v>22</v>
      </c>
    </row>
    <row r="18" customFormat="false" ht="15" hidden="false" customHeight="false" outlineLevel="0" collapsed="false">
      <c r="A18" s="4" t="s">
        <v>28</v>
      </c>
      <c r="B18" s="15" t="n">
        <f aca="false">'Thermal Hydraulics &amp; MLC'!$B$29</f>
        <v>9918.62419536</v>
      </c>
      <c r="C18" s="6" t="s">
        <v>29</v>
      </c>
      <c r="D18" s="7" t="s">
        <v>22</v>
      </c>
    </row>
    <row r="19" customFormat="false" ht="15" hidden="false" customHeight="false" outlineLevel="0" collapsed="false">
      <c r="A19" s="4" t="s">
        <v>30</v>
      </c>
      <c r="B19" s="15" t="n">
        <f aca="false">'Unit Economics &amp; KPIs'!B5</f>
        <v>2304</v>
      </c>
      <c r="C19" s="6" t="s">
        <v>31</v>
      </c>
      <c r="D19" s="7" t="s">
        <v>32</v>
      </c>
    </row>
    <row r="20" customFormat="false" ht="15" hidden="false" customHeight="false" outlineLevel="0" collapsed="false">
      <c r="A20" s="4" t="s">
        <v>33</v>
      </c>
      <c r="B20" s="11" t="n">
        <f aca="false">'Unit Economics &amp; KPIs'!B11</f>
        <v>60546.875</v>
      </c>
      <c r="C20" s="6" t="s">
        <v>34</v>
      </c>
      <c r="D20" s="7" t="s">
        <v>32</v>
      </c>
    </row>
    <row r="21" customFormat="false" ht="15" hidden="false" customHeight="false" outlineLevel="0" collapsed="false">
      <c r="A21" s="4" t="s">
        <v>35</v>
      </c>
      <c r="B21" s="16" t="n">
        <f aca="false">'Unit Economics &amp; KPIs'!B8</f>
        <v>5.01323797112521</v>
      </c>
      <c r="C21" s="6" t="s">
        <v>36</v>
      </c>
      <c r="D21" s="7" t="s">
        <v>32</v>
      </c>
    </row>
    <row r="22" customFormat="false" ht="15" hidden="false" customHeight="false" outlineLevel="0" collapsed="false">
      <c r="A22" s="4" t="s">
        <v>37</v>
      </c>
      <c r="B22" s="16" t="n">
        <f aca="false">'Unit Economics &amp; KPIs'!B16</f>
        <v>0.137869863373019</v>
      </c>
      <c r="C22" s="6" t="s">
        <v>38</v>
      </c>
      <c r="D22" s="7" t="s">
        <v>32</v>
      </c>
    </row>
    <row r="23" customFormat="false" ht="15" hidden="false" customHeight="false" outlineLevel="0" collapsed="false">
      <c r="A23" s="4" t="s">
        <v>39</v>
      </c>
      <c r="B23" s="12" t="n">
        <f aca="false">'Unit Economics &amp; KPIs'!B17</f>
        <v>0.0472894966018917</v>
      </c>
      <c r="C23" s="6" t="s">
        <v>7</v>
      </c>
      <c r="D23" s="7" t="s">
        <v>32</v>
      </c>
    </row>
    <row r="24" customFormat="false" ht="15" hidden="false" customHeight="false" outlineLevel="0" collapsed="false">
      <c r="A24" s="4" t="s">
        <v>40</v>
      </c>
      <c r="B24" s="17" t="n">
        <f aca="false">'Unit Economics &amp; KPIs'!B18</f>
        <v>1.12472791389946</v>
      </c>
      <c r="C24" s="6" t="s">
        <v>41</v>
      </c>
      <c r="D24" s="7" t="s">
        <v>32</v>
      </c>
    </row>
    <row r="25" customFormat="false" ht="15" hidden="false" customHeight="false" outlineLevel="0" collapsed="false">
      <c r="A25" s="4" t="s">
        <v>42</v>
      </c>
      <c r="B25" s="18" t="str">
        <f aca="false">'Control Panel &amp; Inputs'!$C$5&amp;"  (zone "&amp;'Control Panel &amp; Inputs'!$C$6&amp;")"</f>
        <v>Abu Dhabi, UAE  (zone 1A)</v>
      </c>
      <c r="C25" s="6"/>
      <c r="D25" s="7" t="s">
        <v>43</v>
      </c>
    </row>
    <row r="26" customFormat="false" ht="15" hidden="false" customHeight="false" outlineLevel="0" collapsed="false">
      <c r="A26" s="4" t="s">
        <v>44</v>
      </c>
      <c r="B26" s="14" t="n">
        <f aca="false">'Control Panel &amp; Inputs'!$C$7</f>
        <v>0.26</v>
      </c>
      <c r="C26" s="6" t="s">
        <v>45</v>
      </c>
      <c r="D26" s="7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3</v>
      </c>
      <c r="D4" s="3" t="s">
        <v>4</v>
      </c>
      <c r="E4" s="3" t="s">
        <v>50</v>
      </c>
    </row>
    <row r="5" customFormat="false" ht="15" hidden="false" customHeight="false" outlineLevel="0" collapsed="false">
      <c r="A5" s="6" t="s">
        <v>51</v>
      </c>
      <c r="B5" s="6" t="s">
        <v>52</v>
      </c>
      <c r="C5" s="19" t="s">
        <v>53</v>
      </c>
      <c r="D5" s="6"/>
      <c r="E5" s="6" t="s">
        <v>54</v>
      </c>
    </row>
    <row r="6" customFormat="false" ht="15" hidden="false" customHeight="false" outlineLevel="0" collapsed="false">
      <c r="A6" s="6" t="s">
        <v>51</v>
      </c>
      <c r="B6" s="6" t="s">
        <v>55</v>
      </c>
      <c r="C6" s="20" t="str">
        <f aca="false">INDEX('ASHRAE Climate Library'!$B$5:$B$19,MATCH($C$5,'ASHRAE Climate Library'!$A$5:$A$19,0))</f>
        <v>1A</v>
      </c>
      <c r="D6" s="6"/>
      <c r="E6" s="6" t="s">
        <v>56</v>
      </c>
    </row>
    <row r="7" customFormat="false" ht="15" hidden="false" customHeight="false" outlineLevel="0" collapsed="false">
      <c r="A7" s="6" t="s">
        <v>51</v>
      </c>
      <c r="B7" s="6" t="s">
        <v>57</v>
      </c>
      <c r="C7" s="21" t="n">
        <f aca="false">INDEX('ASHRAE Climate Library'!$C$5:$C$19,MATCH($C$5,'ASHRAE Climate Library'!$A$5:$A$19,0))</f>
        <v>0.26</v>
      </c>
      <c r="D7" s="6"/>
      <c r="E7" s="6" t="s">
        <v>58</v>
      </c>
    </row>
    <row r="8" customFormat="false" ht="15" hidden="false" customHeight="false" outlineLevel="0" collapsed="false">
      <c r="A8" s="6" t="s">
        <v>51</v>
      </c>
      <c r="B8" s="6" t="s">
        <v>59</v>
      </c>
      <c r="C8" s="22" t="n">
        <f aca="false">INDEX('ASHRAE Climate Library'!$D$5:$D$19,MATCH($C$5,'ASHRAE Climate Library'!$A$5:$A$19,0))</f>
        <v>50</v>
      </c>
      <c r="D8" s="6" t="s">
        <v>60</v>
      </c>
      <c r="E8" s="6" t="s">
        <v>61</v>
      </c>
    </row>
    <row r="9" customFormat="false" ht="15" hidden="false" customHeight="false" outlineLevel="0" collapsed="false">
      <c r="A9" s="6" t="s">
        <v>51</v>
      </c>
      <c r="B9" s="6" t="s">
        <v>62</v>
      </c>
      <c r="C9" s="22" t="n">
        <f aca="false">INDEX('ASHRAE Climate Library'!$E$5:$E$19,MATCH($C$5,'ASHRAE Climate Library'!$A$5:$A$19,0))</f>
        <v>30</v>
      </c>
      <c r="D9" s="6" t="s">
        <v>60</v>
      </c>
      <c r="E9" s="6" t="s">
        <v>63</v>
      </c>
    </row>
    <row r="10" customFormat="false" ht="15" hidden="false" customHeight="false" outlineLevel="0" collapsed="false">
      <c r="A10" s="6" t="s">
        <v>51</v>
      </c>
      <c r="B10" s="6" t="s">
        <v>64</v>
      </c>
      <c r="C10" s="23" t="n">
        <v>0.39</v>
      </c>
      <c r="D10" s="6" t="s">
        <v>65</v>
      </c>
      <c r="E10" s="6" t="s">
        <v>66</v>
      </c>
    </row>
    <row r="11" customFormat="false" ht="15" hidden="false" customHeight="false" outlineLevel="0" collapsed="false">
      <c r="A11" s="6" t="s">
        <v>51</v>
      </c>
      <c r="B11" s="6" t="s">
        <v>67</v>
      </c>
      <c r="C11" s="23" t="n">
        <v>0.15</v>
      </c>
      <c r="D11" s="6" t="s">
        <v>68</v>
      </c>
      <c r="E11" s="6" t="s">
        <v>69</v>
      </c>
    </row>
    <row r="12" customFormat="false" ht="15" hidden="false" customHeight="false" outlineLevel="0" collapsed="false">
      <c r="A12" s="6" t="s">
        <v>70</v>
      </c>
      <c r="B12" s="6" t="s">
        <v>71</v>
      </c>
      <c r="C12" s="24" t="n">
        <v>32</v>
      </c>
      <c r="D12" s="6" t="s">
        <v>72</v>
      </c>
      <c r="E12" s="6" t="s">
        <v>73</v>
      </c>
    </row>
    <row r="13" customFormat="false" ht="15" hidden="false" customHeight="false" outlineLevel="0" collapsed="false">
      <c r="A13" s="6" t="s">
        <v>70</v>
      </c>
      <c r="B13" s="6" t="s">
        <v>74</v>
      </c>
      <c r="C13" s="25" t="n">
        <v>227</v>
      </c>
      <c r="D13" s="6" t="s">
        <v>75</v>
      </c>
      <c r="E13" s="6" t="s">
        <v>76</v>
      </c>
    </row>
    <row r="14" customFormat="false" ht="15" hidden="false" customHeight="false" outlineLevel="0" collapsed="false">
      <c r="A14" s="6" t="s">
        <v>70</v>
      </c>
      <c r="B14" s="6" t="s">
        <v>77</v>
      </c>
      <c r="C14" s="19" t="s">
        <v>78</v>
      </c>
      <c r="D14" s="6" t="s">
        <v>79</v>
      </c>
      <c r="E14" s="6" t="s">
        <v>80</v>
      </c>
    </row>
    <row r="15" customFormat="false" ht="15" hidden="false" customHeight="false" outlineLevel="0" collapsed="false">
      <c r="A15" s="6" t="s">
        <v>70</v>
      </c>
      <c r="B15" s="6" t="s">
        <v>81</v>
      </c>
      <c r="C15" s="24" t="n">
        <v>6</v>
      </c>
      <c r="D15" s="6" t="s">
        <v>72</v>
      </c>
      <c r="E15" s="6" t="s">
        <v>82</v>
      </c>
    </row>
    <row r="16" customFormat="false" ht="15" hidden="false" customHeight="false" outlineLevel="0" collapsed="false">
      <c r="A16" s="6" t="s">
        <v>70</v>
      </c>
      <c r="B16" s="6" t="s">
        <v>83</v>
      </c>
      <c r="C16" s="25" t="n">
        <v>100</v>
      </c>
      <c r="D16" s="6" t="s">
        <v>75</v>
      </c>
      <c r="E16" s="6" t="s">
        <v>84</v>
      </c>
    </row>
    <row r="17" customFormat="false" ht="15" hidden="false" customHeight="false" outlineLevel="0" collapsed="false">
      <c r="A17" s="6" t="s">
        <v>70</v>
      </c>
      <c r="B17" s="6" t="s">
        <v>85</v>
      </c>
      <c r="C17" s="19" t="s">
        <v>86</v>
      </c>
      <c r="D17" s="6" t="s">
        <v>79</v>
      </c>
      <c r="E17" s="6" t="s">
        <v>87</v>
      </c>
    </row>
    <row r="18" customFormat="false" ht="15" hidden="false" customHeight="false" outlineLevel="0" collapsed="false">
      <c r="A18" s="6" t="s">
        <v>70</v>
      </c>
      <c r="B18" s="6" t="s">
        <v>88</v>
      </c>
      <c r="C18" s="24" t="n">
        <v>10</v>
      </c>
      <c r="D18" s="6" t="s">
        <v>72</v>
      </c>
      <c r="E18" s="6" t="s">
        <v>89</v>
      </c>
    </row>
    <row r="19" customFormat="false" ht="15" hidden="false" customHeight="false" outlineLevel="0" collapsed="false">
      <c r="A19" s="6" t="s">
        <v>70</v>
      </c>
      <c r="B19" s="6" t="s">
        <v>90</v>
      </c>
      <c r="C19" s="25" t="n">
        <v>40</v>
      </c>
      <c r="D19" s="6" t="s">
        <v>75</v>
      </c>
      <c r="E19" s="6" t="s">
        <v>91</v>
      </c>
    </row>
    <row r="20" customFormat="false" ht="15" hidden="false" customHeight="false" outlineLevel="0" collapsed="false">
      <c r="A20" s="6" t="s">
        <v>70</v>
      </c>
      <c r="B20" s="6" t="s">
        <v>92</v>
      </c>
      <c r="C20" s="19" t="s">
        <v>86</v>
      </c>
      <c r="D20" s="6" t="s">
        <v>79</v>
      </c>
      <c r="E20" s="6" t="s">
        <v>87</v>
      </c>
    </row>
    <row r="21" customFormat="false" ht="15" hidden="false" customHeight="false" outlineLevel="0" collapsed="false">
      <c r="A21" s="6" t="s">
        <v>70</v>
      </c>
      <c r="B21" s="6" t="s">
        <v>93</v>
      </c>
      <c r="C21" s="24" t="n">
        <v>72</v>
      </c>
      <c r="D21" s="6" t="s">
        <v>31</v>
      </c>
      <c r="E21" s="6" t="s">
        <v>94</v>
      </c>
    </row>
    <row r="22" customFormat="false" ht="15" hidden="false" customHeight="false" outlineLevel="0" collapsed="false">
      <c r="A22" s="6" t="s">
        <v>70</v>
      </c>
      <c r="B22" s="6" t="s">
        <v>95</v>
      </c>
      <c r="C22" s="26" t="n">
        <v>0.05</v>
      </c>
      <c r="D22" s="6" t="s">
        <v>96</v>
      </c>
      <c r="E22" s="6" t="s">
        <v>97</v>
      </c>
    </row>
    <row r="23" customFormat="false" ht="15" hidden="false" customHeight="false" outlineLevel="0" collapsed="false">
      <c r="A23" s="6" t="s">
        <v>70</v>
      </c>
      <c r="B23" s="6" t="s">
        <v>98</v>
      </c>
      <c r="C23" s="26" t="n">
        <v>0.28</v>
      </c>
      <c r="D23" s="6" t="s">
        <v>96</v>
      </c>
      <c r="E23" s="6" t="s">
        <v>99</v>
      </c>
    </row>
    <row r="24" customFormat="false" ht="15" hidden="false" customHeight="false" outlineLevel="0" collapsed="false">
      <c r="A24" s="6" t="s">
        <v>70</v>
      </c>
      <c r="B24" s="6" t="s">
        <v>100</v>
      </c>
      <c r="C24" s="25" t="n">
        <v>45</v>
      </c>
      <c r="D24" s="6" t="s">
        <v>60</v>
      </c>
      <c r="E24" s="6" t="s">
        <v>101</v>
      </c>
    </row>
    <row r="25" customFormat="false" ht="15" hidden="false" customHeight="false" outlineLevel="0" collapsed="false">
      <c r="A25" s="6" t="s">
        <v>70</v>
      </c>
      <c r="B25" s="6" t="s">
        <v>102</v>
      </c>
      <c r="C25" s="25" t="n">
        <v>55</v>
      </c>
      <c r="D25" s="6" t="s">
        <v>60</v>
      </c>
      <c r="E25" s="6" t="s">
        <v>103</v>
      </c>
    </row>
    <row r="26" customFormat="false" ht="15" hidden="false" customHeight="false" outlineLevel="0" collapsed="false">
      <c r="A26" s="6" t="s">
        <v>70</v>
      </c>
      <c r="B26" s="6" t="s">
        <v>104</v>
      </c>
      <c r="C26" s="27" t="n">
        <v>3.85</v>
      </c>
      <c r="D26" s="6" t="s">
        <v>105</v>
      </c>
      <c r="E26" s="6" t="s">
        <v>106</v>
      </c>
    </row>
    <row r="27" customFormat="false" ht="15" hidden="false" customHeight="false" outlineLevel="0" collapsed="false">
      <c r="A27" s="6" t="s">
        <v>70</v>
      </c>
      <c r="B27" s="6" t="s">
        <v>107</v>
      </c>
      <c r="C27" s="27" t="n">
        <v>1.03</v>
      </c>
      <c r="D27" s="6" t="s">
        <v>108</v>
      </c>
      <c r="E27" s="6" t="s">
        <v>109</v>
      </c>
    </row>
    <row r="28" customFormat="false" ht="15" hidden="false" customHeight="false" outlineLevel="0" collapsed="false">
      <c r="A28" s="6" t="s">
        <v>70</v>
      </c>
      <c r="B28" s="6" t="s">
        <v>110</v>
      </c>
      <c r="C28" s="23" t="n">
        <v>1.08</v>
      </c>
      <c r="D28" s="6"/>
      <c r="E28" s="6" t="s">
        <v>111</v>
      </c>
    </row>
    <row r="29" customFormat="false" ht="15" hidden="false" customHeight="false" outlineLevel="0" collapsed="false">
      <c r="A29" s="6" t="s">
        <v>70</v>
      </c>
      <c r="B29" s="6" t="s">
        <v>112</v>
      </c>
      <c r="C29" s="26" t="n">
        <v>0.85</v>
      </c>
      <c r="D29" s="6" t="s">
        <v>7</v>
      </c>
      <c r="E29" s="6" t="s">
        <v>113</v>
      </c>
    </row>
    <row r="30" customFormat="false" ht="15" hidden="false" customHeight="false" outlineLevel="0" collapsed="false">
      <c r="A30" s="6" t="s">
        <v>70</v>
      </c>
      <c r="B30" s="6" t="s">
        <v>114</v>
      </c>
      <c r="C30" s="28" t="n">
        <v>0.995</v>
      </c>
      <c r="D30" s="6" t="s">
        <v>7</v>
      </c>
      <c r="E30" s="6" t="s">
        <v>115</v>
      </c>
    </row>
    <row r="31" customFormat="false" ht="15" hidden="false" customHeight="false" outlineLevel="0" collapsed="false">
      <c r="A31" s="6" t="s">
        <v>70</v>
      </c>
      <c r="B31" s="6" t="s">
        <v>116</v>
      </c>
      <c r="C31" s="24" t="n">
        <v>1800</v>
      </c>
      <c r="D31" s="6" t="s">
        <v>117</v>
      </c>
      <c r="E31" s="6" t="s">
        <v>118</v>
      </c>
    </row>
    <row r="32" customFormat="false" ht="15" hidden="false" customHeight="false" outlineLevel="0" collapsed="false">
      <c r="A32" s="6" t="s">
        <v>70</v>
      </c>
      <c r="B32" s="6" t="s">
        <v>119</v>
      </c>
      <c r="C32" s="26" t="n">
        <v>0.3</v>
      </c>
      <c r="D32" s="6" t="s">
        <v>7</v>
      </c>
      <c r="E32" s="6" t="s">
        <v>120</v>
      </c>
    </row>
    <row r="33" customFormat="false" ht="15" hidden="false" customHeight="false" outlineLevel="0" collapsed="false">
      <c r="A33" s="6" t="s">
        <v>121</v>
      </c>
      <c r="B33" s="6" t="s">
        <v>122</v>
      </c>
      <c r="C33" s="29" t="n">
        <v>0.06</v>
      </c>
      <c r="D33" s="6" t="s">
        <v>41</v>
      </c>
      <c r="E33" s="6" t="s">
        <v>123</v>
      </c>
    </row>
    <row r="34" customFormat="false" ht="15" hidden="false" customHeight="false" outlineLevel="0" collapsed="false">
      <c r="A34" s="6" t="s">
        <v>121</v>
      </c>
      <c r="B34" s="6" t="s">
        <v>124</v>
      </c>
      <c r="C34" s="26" t="n">
        <v>0.02</v>
      </c>
      <c r="D34" s="6" t="s">
        <v>125</v>
      </c>
      <c r="E34" s="6" t="s">
        <v>126</v>
      </c>
    </row>
    <row r="35" customFormat="false" ht="15" hidden="false" customHeight="false" outlineLevel="0" collapsed="false">
      <c r="A35" s="6" t="s">
        <v>121</v>
      </c>
      <c r="B35" s="6" t="s">
        <v>127</v>
      </c>
      <c r="C35" s="30" t="n">
        <v>139500000</v>
      </c>
      <c r="D35" s="6" t="s">
        <v>11</v>
      </c>
      <c r="E35" s="6" t="s">
        <v>128</v>
      </c>
    </row>
    <row r="36" customFormat="false" ht="15" hidden="false" customHeight="false" outlineLevel="0" collapsed="false">
      <c r="A36" s="6" t="s">
        <v>121</v>
      </c>
      <c r="B36" s="6" t="s">
        <v>129</v>
      </c>
      <c r="C36" s="26" t="n">
        <v>0.1</v>
      </c>
      <c r="D36" s="6" t="s">
        <v>7</v>
      </c>
      <c r="E36" s="6" t="s">
        <v>130</v>
      </c>
    </row>
    <row r="37" customFormat="false" ht="15" hidden="false" customHeight="false" outlineLevel="0" collapsed="false">
      <c r="A37" s="6" t="s">
        <v>121</v>
      </c>
      <c r="B37" s="6" t="s">
        <v>131</v>
      </c>
      <c r="C37" s="26" t="n">
        <v>0.8</v>
      </c>
      <c r="D37" s="6" t="s">
        <v>7</v>
      </c>
      <c r="E37" s="6" t="s">
        <v>132</v>
      </c>
    </row>
    <row r="38" customFormat="false" ht="15" hidden="false" customHeight="false" outlineLevel="0" collapsed="false">
      <c r="A38" s="6" t="s">
        <v>121</v>
      </c>
      <c r="B38" s="6" t="s">
        <v>133</v>
      </c>
      <c r="C38" s="26" t="n">
        <v>0.065</v>
      </c>
      <c r="D38" s="6" t="s">
        <v>7</v>
      </c>
      <c r="E38" s="6" t="s">
        <v>134</v>
      </c>
    </row>
    <row r="39" customFormat="false" ht="15" hidden="false" customHeight="false" outlineLevel="0" collapsed="false">
      <c r="A39" s="6" t="s">
        <v>121</v>
      </c>
      <c r="B39" s="6" t="s">
        <v>135</v>
      </c>
      <c r="C39" s="24" t="n">
        <v>5</v>
      </c>
      <c r="D39" s="6" t="s">
        <v>136</v>
      </c>
      <c r="E39" s="6" t="s">
        <v>137</v>
      </c>
    </row>
    <row r="40" customFormat="false" ht="15" hidden="false" customHeight="false" outlineLevel="0" collapsed="false">
      <c r="A40" s="6" t="s">
        <v>121</v>
      </c>
      <c r="B40" s="6" t="s">
        <v>138</v>
      </c>
      <c r="C40" s="24" t="n">
        <v>5</v>
      </c>
      <c r="D40" s="6" t="s">
        <v>136</v>
      </c>
      <c r="E40" s="6" t="s">
        <v>139</v>
      </c>
    </row>
    <row r="41" customFormat="false" ht="15" hidden="false" customHeight="false" outlineLevel="0" collapsed="false">
      <c r="A41" s="6" t="s">
        <v>121</v>
      </c>
      <c r="B41" s="6" t="s">
        <v>140</v>
      </c>
      <c r="C41" s="24" t="n">
        <v>5</v>
      </c>
      <c r="D41" s="6" t="s">
        <v>136</v>
      </c>
      <c r="E41" s="6" t="s">
        <v>141</v>
      </c>
    </row>
    <row r="42" customFormat="false" ht="15" hidden="false" customHeight="false" outlineLevel="0" collapsed="false">
      <c r="A42" s="6" t="s">
        <v>121</v>
      </c>
      <c r="B42" s="6" t="s">
        <v>142</v>
      </c>
      <c r="C42" s="26" t="n">
        <v>0.09</v>
      </c>
      <c r="D42" s="6" t="s">
        <v>7</v>
      </c>
      <c r="E42" s="6" t="s">
        <v>143</v>
      </c>
    </row>
    <row r="43" customFormat="false" ht="15" hidden="false" customHeight="false" outlineLevel="0" collapsed="false">
      <c r="A43" s="6" t="s">
        <v>121</v>
      </c>
      <c r="B43" s="6" t="s">
        <v>144</v>
      </c>
      <c r="C43" s="26" t="n">
        <v>0.3</v>
      </c>
      <c r="D43" s="6" t="s">
        <v>7</v>
      </c>
      <c r="E43" s="6" t="s">
        <v>145</v>
      </c>
    </row>
    <row r="44" customFormat="false" ht="15" hidden="false" customHeight="false" outlineLevel="0" collapsed="false">
      <c r="A44" s="6" t="s">
        <v>121</v>
      </c>
      <c r="B44" s="6" t="s">
        <v>146</v>
      </c>
      <c r="C44" s="26" t="n">
        <v>0.15</v>
      </c>
      <c r="D44" s="6" t="s">
        <v>7</v>
      </c>
      <c r="E44" s="6" t="s">
        <v>147</v>
      </c>
    </row>
    <row r="45" customFormat="false" ht="15" hidden="false" customHeight="false" outlineLevel="0" collapsed="false">
      <c r="A45" s="6" t="s">
        <v>121</v>
      </c>
      <c r="B45" s="6" t="s">
        <v>148</v>
      </c>
      <c r="C45" s="30" t="n">
        <v>10877000</v>
      </c>
      <c r="D45" s="6" t="s">
        <v>149</v>
      </c>
      <c r="E45" s="6" t="s">
        <v>150</v>
      </c>
    </row>
    <row r="46" customFormat="false" ht="15" hidden="false" customHeight="false" outlineLevel="0" collapsed="false">
      <c r="A46" s="6" t="s">
        <v>121</v>
      </c>
      <c r="B46" s="6" t="s">
        <v>151</v>
      </c>
      <c r="C46" s="26" t="n">
        <v>0.03</v>
      </c>
      <c r="D46" s="6" t="s">
        <v>125</v>
      </c>
      <c r="E46" s="6" t="s">
        <v>152</v>
      </c>
    </row>
    <row r="47" customFormat="false" ht="15" hidden="false" customHeight="false" outlineLevel="0" collapsed="false">
      <c r="A47" s="6" t="s">
        <v>153</v>
      </c>
      <c r="B47" s="6" t="s">
        <v>154</v>
      </c>
      <c r="C47" s="30" t="n">
        <v>58800000</v>
      </c>
      <c r="D47" s="6" t="s">
        <v>149</v>
      </c>
      <c r="E47" s="6" t="s">
        <v>155</v>
      </c>
    </row>
    <row r="48" customFormat="false" ht="15" hidden="false" customHeight="false" outlineLevel="0" collapsed="false">
      <c r="A48" s="6" t="s">
        <v>153</v>
      </c>
      <c r="B48" s="6" t="s">
        <v>156</v>
      </c>
      <c r="C48" s="30" t="n">
        <v>25200000</v>
      </c>
      <c r="D48" s="6" t="s">
        <v>149</v>
      </c>
      <c r="E48" s="6" t="s">
        <v>157</v>
      </c>
    </row>
    <row r="49" customFormat="false" ht="15" hidden="false" customHeight="false" outlineLevel="0" collapsed="false">
      <c r="A49" s="6" t="s">
        <v>153</v>
      </c>
      <c r="B49" s="6" t="s">
        <v>158</v>
      </c>
      <c r="C49" s="26" t="n">
        <v>0.9</v>
      </c>
      <c r="D49" s="6" t="s">
        <v>7</v>
      </c>
      <c r="E49" s="6" t="s">
        <v>159</v>
      </c>
    </row>
    <row r="50" customFormat="false" ht="15" hidden="false" customHeight="false" outlineLevel="0" collapsed="false">
      <c r="A50" s="6" t="s">
        <v>153</v>
      </c>
      <c r="B50" s="6" t="s">
        <v>160</v>
      </c>
      <c r="C50" s="26" t="n">
        <v>0</v>
      </c>
      <c r="D50" s="6" t="s">
        <v>125</v>
      </c>
      <c r="E50" s="6" t="s">
        <v>161</v>
      </c>
    </row>
    <row r="51" customFormat="false" ht="15" hidden="false" customHeight="false" outlineLevel="0" collapsed="false">
      <c r="A51" s="6" t="s">
        <v>153</v>
      </c>
      <c r="B51" s="6" t="s">
        <v>162</v>
      </c>
      <c r="C51" s="26" t="n">
        <v>0.15</v>
      </c>
      <c r="D51" s="6" t="s">
        <v>125</v>
      </c>
      <c r="E51" s="6" t="s">
        <v>163</v>
      </c>
    </row>
    <row r="52" customFormat="false" ht="15" hidden="false" customHeight="false" outlineLevel="0" collapsed="false">
      <c r="A52" s="6" t="s">
        <v>153</v>
      </c>
      <c r="B52" s="6" t="s">
        <v>164</v>
      </c>
      <c r="C52" s="26" t="n">
        <v>0.25</v>
      </c>
      <c r="D52" s="6" t="s">
        <v>125</v>
      </c>
      <c r="E52" s="6" t="s">
        <v>165</v>
      </c>
    </row>
    <row r="54" customFormat="false" ht="15" hidden="false" customHeight="false" outlineLevel="0" collapsed="false">
      <c r="A54" s="2" t="s">
        <v>166</v>
      </c>
    </row>
    <row r="55" customFormat="false" ht="15" hidden="false" customHeight="false" outlineLevel="0" collapsed="false">
      <c r="A55" s="2" t="s">
        <v>167</v>
      </c>
    </row>
    <row r="56" customFormat="false" ht="15" hidden="false" customHeight="false" outlineLevel="0" collapsed="false">
      <c r="A56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3" t="s">
        <v>171</v>
      </c>
      <c r="B4" s="3" t="s">
        <v>172</v>
      </c>
      <c r="C4" s="3" t="s">
        <v>173</v>
      </c>
      <c r="D4" s="3" t="s">
        <v>174</v>
      </c>
      <c r="E4" s="3" t="s">
        <v>175</v>
      </c>
      <c r="F4" s="3" t="s">
        <v>176</v>
      </c>
    </row>
    <row r="5" customFormat="false" ht="15" hidden="false" customHeight="false" outlineLevel="0" collapsed="false">
      <c r="A5" s="6" t="s">
        <v>53</v>
      </c>
      <c r="B5" s="6" t="s">
        <v>177</v>
      </c>
      <c r="C5" s="31" t="n">
        <v>0.26</v>
      </c>
      <c r="D5" s="32" t="n">
        <v>50</v>
      </c>
      <c r="E5" s="32" t="n">
        <v>30</v>
      </c>
      <c r="F5" s="6" t="s">
        <v>178</v>
      </c>
    </row>
    <row r="6" customFormat="false" ht="15" hidden="false" customHeight="false" outlineLevel="0" collapsed="false">
      <c r="A6" s="6" t="s">
        <v>179</v>
      </c>
      <c r="B6" s="6" t="s">
        <v>180</v>
      </c>
      <c r="C6" s="31" t="n">
        <v>0.28</v>
      </c>
      <c r="D6" s="32" t="n">
        <v>49.5</v>
      </c>
      <c r="E6" s="32" t="n">
        <v>31</v>
      </c>
      <c r="F6" s="6"/>
    </row>
    <row r="7" customFormat="false" ht="15" hidden="false" customHeight="false" outlineLevel="0" collapsed="false">
      <c r="A7" s="6" t="s">
        <v>181</v>
      </c>
      <c r="B7" s="6" t="s">
        <v>180</v>
      </c>
      <c r="C7" s="31" t="n">
        <v>0.28</v>
      </c>
      <c r="D7" s="32" t="n">
        <v>49</v>
      </c>
      <c r="E7" s="32" t="n">
        <v>24</v>
      </c>
      <c r="F7" s="6" t="s">
        <v>182</v>
      </c>
    </row>
    <row r="8" customFormat="false" ht="15" hidden="false" customHeight="false" outlineLevel="0" collapsed="false">
      <c r="A8" s="6" t="s">
        <v>183</v>
      </c>
      <c r="B8" s="6" t="s">
        <v>184</v>
      </c>
      <c r="C8" s="31" t="n">
        <v>0.28</v>
      </c>
      <c r="D8" s="32" t="n">
        <v>36.5</v>
      </c>
      <c r="E8" s="32" t="n">
        <v>29.5</v>
      </c>
      <c r="F8" s="6" t="s">
        <v>185</v>
      </c>
    </row>
    <row r="9" customFormat="false" ht="15" hidden="false" customHeight="false" outlineLevel="0" collapsed="false">
      <c r="A9" s="6" t="s">
        <v>186</v>
      </c>
      <c r="B9" s="6" t="s">
        <v>184</v>
      </c>
      <c r="C9" s="31" t="n">
        <v>0.28</v>
      </c>
      <c r="D9" s="32" t="n">
        <v>39.5</v>
      </c>
      <c r="E9" s="32" t="n">
        <v>30</v>
      </c>
      <c r="F9" s="6"/>
    </row>
    <row r="10" customFormat="false" ht="15" hidden="false" customHeight="false" outlineLevel="0" collapsed="false">
      <c r="A10" s="6" t="s">
        <v>187</v>
      </c>
      <c r="B10" s="6" t="s">
        <v>188</v>
      </c>
      <c r="C10" s="31" t="n">
        <v>0.25</v>
      </c>
      <c r="D10" s="32" t="n">
        <v>48.5</v>
      </c>
      <c r="E10" s="32" t="n">
        <v>26.5</v>
      </c>
      <c r="F10" s="6"/>
    </row>
    <row r="11" customFormat="false" ht="15" hidden="false" customHeight="false" outlineLevel="0" collapsed="false">
      <c r="A11" s="6" t="s">
        <v>189</v>
      </c>
      <c r="B11" s="6" t="s">
        <v>190</v>
      </c>
      <c r="C11" s="31" t="n">
        <v>0.21</v>
      </c>
      <c r="D11" s="32" t="n">
        <v>43.5</v>
      </c>
      <c r="E11" s="32" t="n">
        <v>27.5</v>
      </c>
      <c r="F11" s="6"/>
    </row>
    <row r="12" customFormat="false" ht="15" hidden="false" customHeight="false" outlineLevel="0" collapsed="false">
      <c r="A12" s="6" t="s">
        <v>191</v>
      </c>
      <c r="B12" s="6" t="s">
        <v>192</v>
      </c>
      <c r="C12" s="31" t="n">
        <v>0.19</v>
      </c>
      <c r="D12" s="32" t="n">
        <v>39</v>
      </c>
      <c r="E12" s="32" t="n">
        <v>27</v>
      </c>
      <c r="F12" s="6" t="s">
        <v>193</v>
      </c>
    </row>
    <row r="13" customFormat="false" ht="15" hidden="false" customHeight="false" outlineLevel="0" collapsed="false">
      <c r="A13" s="6" t="s">
        <v>194</v>
      </c>
      <c r="B13" s="6" t="s">
        <v>195</v>
      </c>
      <c r="C13" s="31" t="n">
        <v>0.16</v>
      </c>
      <c r="D13" s="32" t="n">
        <v>38.5</v>
      </c>
      <c r="E13" s="32" t="n">
        <v>27</v>
      </c>
      <c r="F13" s="6"/>
    </row>
    <row r="14" customFormat="false" ht="15" hidden="false" customHeight="false" outlineLevel="0" collapsed="false">
      <c r="A14" s="6" t="s">
        <v>196</v>
      </c>
      <c r="B14" s="6" t="s">
        <v>195</v>
      </c>
      <c r="C14" s="31" t="n">
        <v>0.16</v>
      </c>
      <c r="D14" s="32" t="n">
        <v>37.5</v>
      </c>
      <c r="E14" s="32" t="n">
        <v>23</v>
      </c>
      <c r="F14" s="6"/>
    </row>
    <row r="15" customFormat="false" ht="15" hidden="false" customHeight="false" outlineLevel="0" collapsed="false">
      <c r="A15" s="6" t="s">
        <v>197</v>
      </c>
      <c r="B15" s="6" t="s">
        <v>195</v>
      </c>
      <c r="C15" s="31" t="n">
        <v>0.16</v>
      </c>
      <c r="D15" s="32" t="n">
        <v>35</v>
      </c>
      <c r="E15" s="32" t="n">
        <v>22</v>
      </c>
      <c r="F15" s="6"/>
    </row>
    <row r="16" customFormat="false" ht="15" hidden="false" customHeight="false" outlineLevel="0" collapsed="false">
      <c r="A16" s="6" t="s">
        <v>198</v>
      </c>
      <c r="B16" s="6" t="s">
        <v>195</v>
      </c>
      <c r="C16" s="31" t="n">
        <v>0.16</v>
      </c>
      <c r="D16" s="32" t="n">
        <v>28.5</v>
      </c>
      <c r="E16" s="32" t="n">
        <v>19.5</v>
      </c>
      <c r="F16" s="6" t="s">
        <v>199</v>
      </c>
    </row>
    <row r="17" customFormat="false" ht="15" hidden="false" customHeight="false" outlineLevel="0" collapsed="false">
      <c r="A17" s="6" t="s">
        <v>200</v>
      </c>
      <c r="B17" s="6" t="s">
        <v>201</v>
      </c>
      <c r="C17" s="31" t="n">
        <v>0.15</v>
      </c>
      <c r="D17" s="32" t="n">
        <v>32</v>
      </c>
      <c r="E17" s="32" t="n">
        <v>21</v>
      </c>
      <c r="F17" s="6"/>
    </row>
    <row r="18" customFormat="false" ht="15" hidden="false" customHeight="false" outlineLevel="0" collapsed="false">
      <c r="A18" s="6" t="s">
        <v>202</v>
      </c>
      <c r="B18" s="6" t="s">
        <v>190</v>
      </c>
      <c r="C18" s="31" t="n">
        <v>0.21</v>
      </c>
      <c r="D18" s="32" t="n">
        <v>37.5</v>
      </c>
      <c r="E18" s="32" t="n">
        <v>27.5</v>
      </c>
      <c r="F18" s="6"/>
    </row>
    <row r="19" customFormat="false" ht="15" hidden="false" customHeight="false" outlineLevel="0" collapsed="false">
      <c r="A19" s="6" t="s">
        <v>203</v>
      </c>
      <c r="B19" s="6" t="s">
        <v>190</v>
      </c>
      <c r="C19" s="31" t="n">
        <v>0.21</v>
      </c>
      <c r="D19" s="32" t="n">
        <v>43</v>
      </c>
      <c r="E19" s="32" t="n">
        <v>24.5</v>
      </c>
      <c r="F1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204</v>
      </c>
    </row>
    <row r="2" customFormat="false" ht="15" hidden="false" customHeight="false" outlineLevel="0" collapsed="false">
      <c r="A2" s="2" t="s">
        <v>205</v>
      </c>
    </row>
    <row r="4" customFormat="false" ht="15" hidden="false" customHeight="false" outlineLevel="0" collapsed="false">
      <c r="A4" s="3" t="s">
        <v>206</v>
      </c>
      <c r="B4" s="3" t="s">
        <v>3</v>
      </c>
      <c r="C4" s="3" t="s">
        <v>4</v>
      </c>
      <c r="D4" s="3" t="s">
        <v>176</v>
      </c>
    </row>
    <row r="5" customFormat="false" ht="15" hidden="false" customHeight="false" outlineLevel="0" collapsed="false">
      <c r="A5" s="6" t="s">
        <v>207</v>
      </c>
      <c r="B5" s="33" t="n">
        <f aca="false">'Control Panel &amp; Inputs'!$C$12*'Control Panel &amp; Inputs'!$C$13</f>
        <v>7264</v>
      </c>
      <c r="C5" s="6" t="s">
        <v>208</v>
      </c>
      <c r="D5" s="6" t="s">
        <v>209</v>
      </c>
    </row>
    <row r="6" customFormat="false" ht="15" hidden="false" customHeight="false" outlineLevel="0" collapsed="false">
      <c r="A6" s="6" t="s">
        <v>210</v>
      </c>
      <c r="B6" s="33" t="n">
        <f aca="false">'Control Panel &amp; Inputs'!$C$15*'Control Panel &amp; Inputs'!$C$16</f>
        <v>600</v>
      </c>
      <c r="C6" s="6" t="s">
        <v>208</v>
      </c>
      <c r="D6" s="6" t="s">
        <v>211</v>
      </c>
    </row>
    <row r="7" customFormat="false" ht="15" hidden="false" customHeight="false" outlineLevel="0" collapsed="false">
      <c r="A7" s="6" t="s">
        <v>212</v>
      </c>
      <c r="B7" s="33" t="n">
        <f aca="false">'Control Panel &amp; Inputs'!$C$18*'Control Panel &amp; Inputs'!$C$19</f>
        <v>400</v>
      </c>
      <c r="C7" s="6" t="s">
        <v>208</v>
      </c>
      <c r="D7" s="6" t="s">
        <v>213</v>
      </c>
    </row>
    <row r="8" customFormat="false" ht="15" hidden="false" customHeight="false" outlineLevel="0" collapsed="false">
      <c r="A8" s="6" t="s">
        <v>214</v>
      </c>
      <c r="B8" s="33" t="n">
        <f aca="false">B5+B6+B7</f>
        <v>8264</v>
      </c>
      <c r="C8" s="6" t="s">
        <v>208</v>
      </c>
      <c r="D8" s="6" t="s">
        <v>215</v>
      </c>
    </row>
    <row r="9" customFormat="false" ht="15" hidden="false" customHeight="false" outlineLevel="0" collapsed="false">
      <c r="A9" s="6" t="s">
        <v>216</v>
      </c>
      <c r="B9" s="33" t="n">
        <f aca="false">IF('Control Panel &amp; Inputs'!$C$14="Liquid",B5,0)+IF('Control Panel &amp; Inputs'!$C$17="Liquid",B6,0)+IF('Control Panel &amp; Inputs'!$C$20="Liquid",B7,0)</f>
        <v>7264</v>
      </c>
      <c r="C9" s="6" t="s">
        <v>208</v>
      </c>
      <c r="D9" s="6" t="s">
        <v>217</v>
      </c>
    </row>
    <row r="10" customFormat="false" ht="15" hidden="false" customHeight="false" outlineLevel="0" collapsed="false">
      <c r="A10" s="6" t="s">
        <v>218</v>
      </c>
      <c r="B10" s="33" t="n">
        <f aca="false">B8-B9</f>
        <v>1000</v>
      </c>
      <c r="C10" s="6" t="s">
        <v>208</v>
      </c>
      <c r="D10" s="6" t="s">
        <v>219</v>
      </c>
    </row>
    <row r="11" customFormat="false" ht="15" hidden="false" customHeight="false" outlineLevel="0" collapsed="false">
      <c r="A11" s="6" t="s">
        <v>220</v>
      </c>
      <c r="B11" s="34" t="n">
        <f aca="false">IF('Control Panel &amp; Inputs'!$C$14="Liquid",'Control Panel &amp; Inputs'!$C$12,0)+IF('Control Panel &amp; Inputs'!$C$17="Liquid",'Control Panel &amp; Inputs'!$C$15,0)+IF('Control Panel &amp; Inputs'!$C$20="Liquid",'Control Panel &amp; Inputs'!$C$18,0)</f>
        <v>32</v>
      </c>
      <c r="C11" s="6" t="s">
        <v>72</v>
      </c>
      <c r="D11" s="6" t="s">
        <v>221</v>
      </c>
    </row>
    <row r="12" customFormat="false" ht="15" hidden="false" customHeight="false" outlineLevel="0" collapsed="false">
      <c r="A12" s="6" t="s">
        <v>222</v>
      </c>
      <c r="B12" s="33" t="n">
        <f aca="false">'Control Panel &amp; Inputs'!$C$24</f>
        <v>45</v>
      </c>
      <c r="C12" s="6" t="s">
        <v>60</v>
      </c>
      <c r="D12" s="6" t="s">
        <v>223</v>
      </c>
    </row>
    <row r="13" customFormat="false" ht="15" hidden="false" customHeight="false" outlineLevel="0" collapsed="false">
      <c r="A13" s="6" t="s">
        <v>224</v>
      </c>
      <c r="B13" s="33" t="n">
        <f aca="false">'Control Panel &amp; Inputs'!$C$25</f>
        <v>55</v>
      </c>
      <c r="C13" s="6" t="s">
        <v>60</v>
      </c>
      <c r="D13" s="6" t="s">
        <v>225</v>
      </c>
    </row>
    <row r="14" customFormat="false" ht="15" hidden="false" customHeight="false" outlineLevel="0" collapsed="false">
      <c r="A14" s="6" t="s">
        <v>226</v>
      </c>
      <c r="B14" s="33" t="n">
        <f aca="false">B13-B12</f>
        <v>10</v>
      </c>
      <c r="C14" s="6" t="s">
        <v>60</v>
      </c>
      <c r="D14" s="6" t="s">
        <v>227</v>
      </c>
    </row>
    <row r="15" customFormat="false" ht="15" hidden="false" customHeight="false" outlineLevel="0" collapsed="false">
      <c r="A15" s="6" t="s">
        <v>228</v>
      </c>
      <c r="B15" s="33" t="n">
        <f aca="false">'Control Panel &amp; Inputs'!$C$13/('Control Panel &amp; Inputs'!$C$27*'Control Panel &amp; Inputs'!$C$26*B14)*60</f>
        <v>343.462362879839</v>
      </c>
      <c r="C15" s="6" t="s">
        <v>229</v>
      </c>
      <c r="D15" s="6" t="s">
        <v>230</v>
      </c>
    </row>
    <row r="16" customFormat="false" ht="15" hidden="false" customHeight="false" outlineLevel="0" collapsed="false">
      <c r="A16" s="6" t="s">
        <v>231</v>
      </c>
      <c r="B16" s="33" t="n">
        <f aca="false">B9/('Control Panel &amp; Inputs'!$C$27*'Control Panel &amp; Inputs'!$C$26*B14)*60</f>
        <v>10990.7956121548</v>
      </c>
      <c r="C16" s="6" t="s">
        <v>229</v>
      </c>
      <c r="D16" s="6" t="s">
        <v>232</v>
      </c>
    </row>
    <row r="17" customFormat="false" ht="15" hidden="false" customHeight="false" outlineLevel="0" collapsed="false">
      <c r="A17" s="6" t="s">
        <v>233</v>
      </c>
      <c r="B17" s="33" t="n">
        <f aca="false">'Control Panel &amp; Inputs'!$C$8</f>
        <v>50</v>
      </c>
      <c r="C17" s="6" t="s">
        <v>60</v>
      </c>
      <c r="D17" s="6" t="s">
        <v>234</v>
      </c>
    </row>
    <row r="18" customFormat="false" ht="15" hidden="false" customHeight="false" outlineLevel="0" collapsed="false">
      <c r="A18" s="6" t="s">
        <v>235</v>
      </c>
      <c r="B18" s="33" t="n">
        <f aca="false">'Control Panel &amp; Inputs'!$C$9</f>
        <v>30</v>
      </c>
      <c r="C18" s="6" t="s">
        <v>60</v>
      </c>
      <c r="D18" s="6" t="s">
        <v>236</v>
      </c>
    </row>
    <row r="19" customFormat="false" ht="15" hidden="false" customHeight="false" outlineLevel="0" collapsed="false">
      <c r="A19" s="6" t="s">
        <v>237</v>
      </c>
      <c r="B19" s="33" t="n">
        <f aca="false">B13-B17</f>
        <v>5</v>
      </c>
      <c r="C19" s="6" t="s">
        <v>238</v>
      </c>
      <c r="D19" s="6" t="s">
        <v>239</v>
      </c>
    </row>
    <row r="20" customFormat="false" ht="15" hidden="false" customHeight="false" outlineLevel="0" collapsed="false">
      <c r="A20" s="6" t="s">
        <v>240</v>
      </c>
      <c r="B20" s="33" t="n">
        <f aca="false">B9*'Control Panel &amp; Inputs'!$C$22</f>
        <v>363.2</v>
      </c>
      <c r="C20" s="6" t="s">
        <v>208</v>
      </c>
      <c r="D20" s="6" t="s">
        <v>241</v>
      </c>
    </row>
    <row r="21" customFormat="false" ht="15" hidden="false" customHeight="false" outlineLevel="0" collapsed="false">
      <c r="A21" s="6" t="s">
        <v>242</v>
      </c>
      <c r="B21" s="33" t="n">
        <f aca="false">B10*'Control Panel &amp; Inputs'!$C$23</f>
        <v>280</v>
      </c>
      <c r="C21" s="6" t="s">
        <v>208</v>
      </c>
      <c r="D21" s="6" t="s">
        <v>243</v>
      </c>
    </row>
    <row r="22" customFormat="false" ht="15" hidden="false" customHeight="false" outlineLevel="0" collapsed="false">
      <c r="A22" s="6" t="s">
        <v>244</v>
      </c>
      <c r="B22" s="33" t="n">
        <f aca="false">B20+B21</f>
        <v>643.2</v>
      </c>
      <c r="C22" s="6" t="s">
        <v>208</v>
      </c>
      <c r="D22" s="6" t="s">
        <v>245</v>
      </c>
    </row>
    <row r="23" customFormat="false" ht="15" hidden="false" customHeight="false" outlineLevel="0" collapsed="false">
      <c r="A23" s="6" t="s">
        <v>246</v>
      </c>
      <c r="B23" s="35" t="n">
        <f aca="false">B22/B8</f>
        <v>0.0778315585672798</v>
      </c>
      <c r="C23" s="6"/>
      <c r="D23" s="6" t="s">
        <v>247</v>
      </c>
    </row>
    <row r="24" customFormat="false" ht="15" hidden="false" customHeight="false" outlineLevel="0" collapsed="false">
      <c r="A24" s="6" t="s">
        <v>248</v>
      </c>
      <c r="B24" s="35" t="n">
        <f aca="false">'Control Panel &amp; Inputs'!$C$7</f>
        <v>0.26</v>
      </c>
      <c r="C24" s="6"/>
      <c r="D24" s="6" t="s">
        <v>249</v>
      </c>
    </row>
    <row r="25" customFormat="false" ht="15" hidden="false" customHeight="false" outlineLevel="0" collapsed="false">
      <c r="A25" s="6" t="s">
        <v>250</v>
      </c>
      <c r="B25" s="36" t="n">
        <f aca="false">(B24-B23)/B24</f>
        <v>0.700647851664309</v>
      </c>
      <c r="C25" s="6" t="s">
        <v>7</v>
      </c>
      <c r="D25" s="6" t="s">
        <v>251</v>
      </c>
    </row>
    <row r="26" customFormat="false" ht="15" hidden="false" customHeight="false" outlineLevel="0" collapsed="false">
      <c r="A26" s="6" t="s">
        <v>252</v>
      </c>
      <c r="B26" s="33" t="n">
        <f aca="false">B8*'Control Panel &amp; Inputs'!$C$29*'Control Panel &amp; Inputs'!$C$30</f>
        <v>6989.278</v>
      </c>
      <c r="C26" s="6" t="s">
        <v>208</v>
      </c>
      <c r="D26" s="6" t="s">
        <v>253</v>
      </c>
    </row>
    <row r="27" customFormat="false" ht="15" hidden="false" customHeight="false" outlineLevel="0" collapsed="false">
      <c r="A27" s="6" t="s">
        <v>254</v>
      </c>
      <c r="B27" s="35" t="n">
        <f aca="false">'Control Panel &amp; Inputs'!$C$28</f>
        <v>1.08</v>
      </c>
      <c r="C27" s="6"/>
      <c r="D27" s="6" t="s">
        <v>255</v>
      </c>
    </row>
    <row r="28" customFormat="false" ht="15" hidden="false" customHeight="false" outlineLevel="0" collapsed="false">
      <c r="A28" s="6" t="s">
        <v>24</v>
      </c>
      <c r="B28" s="34" t="n">
        <f aca="false">B26*8760*B27/1000</f>
        <v>66124.1613024</v>
      </c>
      <c r="C28" s="6" t="s">
        <v>25</v>
      </c>
      <c r="D28" s="6" t="s">
        <v>256</v>
      </c>
    </row>
    <row r="29" customFormat="false" ht="15" hidden="false" customHeight="false" outlineLevel="0" collapsed="false">
      <c r="A29" s="6" t="s">
        <v>28</v>
      </c>
      <c r="B29" s="34" t="n">
        <f aca="false">B28*'Control Panel &amp; Inputs'!$C$11</f>
        <v>9918.62419536</v>
      </c>
      <c r="C29" s="6" t="s">
        <v>29</v>
      </c>
      <c r="D29" s="6" t="s">
        <v>257</v>
      </c>
    </row>
    <row r="30" customFormat="false" ht="15" hidden="false" customHeight="false" outlineLevel="0" collapsed="false">
      <c r="A30" s="6" t="s">
        <v>26</v>
      </c>
      <c r="B30" s="34" t="n">
        <f aca="false">B28*'Control Panel &amp; Inputs'!$C$10</f>
        <v>25788.422907936</v>
      </c>
      <c r="C30" s="6" t="s">
        <v>27</v>
      </c>
      <c r="D30" s="6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15" hidden="false" customHeight="false" outlineLevel="0" collapsed="false">
      <c r="A4" s="3" t="s">
        <v>261</v>
      </c>
      <c r="B4" s="3" t="s">
        <v>262</v>
      </c>
      <c r="C4" s="3" t="s">
        <v>263</v>
      </c>
      <c r="D4" s="3" t="s">
        <v>264</v>
      </c>
      <c r="E4" s="3" t="s">
        <v>265</v>
      </c>
      <c r="F4" s="3" t="s">
        <v>266</v>
      </c>
      <c r="G4" s="3" t="s">
        <v>267</v>
      </c>
    </row>
    <row r="5" customFormat="false" ht="15" hidden="false" customHeight="false" outlineLevel="0" collapsed="false">
      <c r="A5" s="37" t="s">
        <v>268</v>
      </c>
      <c r="B5" s="38" t="n">
        <v>0</v>
      </c>
      <c r="C5" s="38" t="n">
        <f aca="false">'Control Panel &amp; Inputs'!$C$49</f>
        <v>0.9</v>
      </c>
      <c r="D5" s="38" t="n">
        <v>1</v>
      </c>
      <c r="E5" s="38" t="n">
        <v>1</v>
      </c>
      <c r="F5" s="38" t="n">
        <v>1</v>
      </c>
      <c r="G5" s="38" t="n">
        <v>1</v>
      </c>
    </row>
    <row r="6" customFormat="false" ht="15" hidden="false" customHeight="false" outlineLevel="0" collapsed="false">
      <c r="A6" s="37" t="s">
        <v>269</v>
      </c>
      <c r="B6" s="39" t="n">
        <v>0</v>
      </c>
      <c r="C6" s="39" t="n">
        <f aca="false">'Control Panel &amp; Inputs'!$C$47*POWER(1+'Control Panel &amp; Inputs'!$C$50,0)*C5</f>
        <v>52920000</v>
      </c>
      <c r="D6" s="39" t="n">
        <f aca="false">'Control Panel &amp; Inputs'!$C$47*POWER(1+'Control Panel &amp; Inputs'!$C$50,1)*D5</f>
        <v>58800000</v>
      </c>
      <c r="E6" s="39" t="n">
        <f aca="false">'Control Panel &amp; Inputs'!$C$47*POWER(1+'Control Panel &amp; Inputs'!$C$50,2)*E5</f>
        <v>58800000</v>
      </c>
      <c r="F6" s="39" t="n">
        <f aca="false">'Control Panel &amp; Inputs'!$C$47*POWER(1+'Control Panel &amp; Inputs'!$C$50,3)*F5</f>
        <v>58800000</v>
      </c>
      <c r="G6" s="39" t="n">
        <f aca="false">'Control Panel &amp; Inputs'!$C$47*POWER(1+'Control Panel &amp; Inputs'!$C$50,4)*G5</f>
        <v>58800000</v>
      </c>
    </row>
    <row r="7" customFormat="false" ht="15" hidden="false" customHeight="false" outlineLevel="0" collapsed="false">
      <c r="A7" s="37" t="s">
        <v>270</v>
      </c>
      <c r="B7" s="39" t="n">
        <v>0</v>
      </c>
      <c r="C7" s="39" t="n">
        <f aca="false">'Control Panel &amp; Inputs'!$C$48*POWER((1+'Control Panel &amp; Inputs'!$C$52)*(1-'Control Panel &amp; Inputs'!$C$51),0)*C5</f>
        <v>22680000</v>
      </c>
      <c r="D7" s="39" t="n">
        <f aca="false">'Control Panel &amp; Inputs'!$C$48*POWER((1+'Control Panel &amp; Inputs'!$C$52)*(1-'Control Panel &amp; Inputs'!$C$51),1)*D5</f>
        <v>26775000</v>
      </c>
      <c r="E7" s="39" t="n">
        <f aca="false">'Control Panel &amp; Inputs'!$C$48*POWER((1+'Control Panel &amp; Inputs'!$C$52)*(1-'Control Panel &amp; Inputs'!$C$51),2)*E5</f>
        <v>28448437.5</v>
      </c>
      <c r="F7" s="39" t="n">
        <f aca="false">'Control Panel &amp; Inputs'!$C$48*POWER((1+'Control Panel &amp; Inputs'!$C$52)*(1-'Control Panel &amp; Inputs'!$C$51),3)*F5</f>
        <v>30226464.84375</v>
      </c>
      <c r="G7" s="39" t="n">
        <f aca="false">'Control Panel &amp; Inputs'!$C$48*POWER((1+'Control Panel &amp; Inputs'!$C$52)*(1-'Control Panel &amp; Inputs'!$C$51),4)*G5</f>
        <v>32115618.8964844</v>
      </c>
    </row>
    <row r="8" customFormat="false" ht="15" hidden="false" customHeight="false" outlineLevel="0" collapsed="false">
      <c r="A8" s="37" t="s">
        <v>271</v>
      </c>
      <c r="B8" s="39" t="n">
        <v>0</v>
      </c>
      <c r="C8" s="39" t="n">
        <f aca="false">C6+C7</f>
        <v>75600000</v>
      </c>
      <c r="D8" s="39" t="n">
        <f aca="false">D6+D7</f>
        <v>85575000</v>
      </c>
      <c r="E8" s="39" t="n">
        <f aca="false">E6+E7</f>
        <v>87248437.5</v>
      </c>
      <c r="F8" s="39" t="n">
        <f aca="false">F6+F7</f>
        <v>89026464.84375</v>
      </c>
      <c r="G8" s="39" t="n">
        <f aca="false">G6+G7</f>
        <v>90915618.8964844</v>
      </c>
    </row>
    <row r="9" customFormat="false" ht="15" hidden="false" customHeight="false" outlineLevel="0" collapsed="false">
      <c r="A9" s="37" t="s">
        <v>272</v>
      </c>
      <c r="B9" s="40" t="n">
        <v>0</v>
      </c>
      <c r="C9" s="40" t="n">
        <f aca="false">'Control Panel &amp; Inputs'!$C$33*POWER(1+'Control Panel &amp; Inputs'!$C$34,0)</f>
        <v>0.06</v>
      </c>
      <c r="D9" s="40" t="n">
        <f aca="false">'Control Panel &amp; Inputs'!$C$33*POWER(1+'Control Panel &amp; Inputs'!$C$34,1)</f>
        <v>0.0612</v>
      </c>
      <c r="E9" s="40" t="n">
        <f aca="false">'Control Panel &amp; Inputs'!$C$33*POWER(1+'Control Panel &amp; Inputs'!$C$34,2)</f>
        <v>0.062424</v>
      </c>
      <c r="F9" s="40" t="n">
        <f aca="false">'Control Panel &amp; Inputs'!$C$33*POWER(1+'Control Panel &amp; Inputs'!$C$34,3)</f>
        <v>0.06367248</v>
      </c>
      <c r="G9" s="40" t="n">
        <f aca="false">'Control Panel &amp; Inputs'!$C$33*POWER(1+'Control Panel &amp; Inputs'!$C$34,4)</f>
        <v>0.0649459296</v>
      </c>
    </row>
    <row r="10" customFormat="false" ht="15" hidden="false" customHeight="false" outlineLevel="0" collapsed="false">
      <c r="A10" s="37" t="s">
        <v>273</v>
      </c>
      <c r="B10" s="41" t="n">
        <v>0</v>
      </c>
      <c r="C10" s="41" t="n">
        <f aca="false">'Thermal Hydraulics &amp; MLC'!$B$28*1000</f>
        <v>66124161.3024</v>
      </c>
      <c r="D10" s="41" t="n">
        <f aca="false">'Thermal Hydraulics &amp; MLC'!$B$28*1000</f>
        <v>66124161.3024</v>
      </c>
      <c r="E10" s="41" t="n">
        <f aca="false">'Thermal Hydraulics &amp; MLC'!$B$28*1000</f>
        <v>66124161.3024</v>
      </c>
      <c r="F10" s="41" t="n">
        <f aca="false">'Thermal Hydraulics &amp; MLC'!$B$28*1000</f>
        <v>66124161.3024</v>
      </c>
      <c r="G10" s="41" t="n">
        <f aca="false">'Thermal Hydraulics &amp; MLC'!$B$28*1000</f>
        <v>66124161.3024</v>
      </c>
    </row>
    <row r="11" customFormat="false" ht="15" hidden="false" customHeight="false" outlineLevel="0" collapsed="false">
      <c r="A11" s="37" t="s">
        <v>274</v>
      </c>
      <c r="B11" s="39" t="n">
        <v>0</v>
      </c>
      <c r="C11" s="39" t="n">
        <f aca="false">C10*C9</f>
        <v>3967449.678144</v>
      </c>
      <c r="D11" s="39" t="n">
        <f aca="false">D10*D9</f>
        <v>4046798.67170688</v>
      </c>
      <c r="E11" s="39" t="n">
        <f aca="false">E10*E9</f>
        <v>4127734.64514102</v>
      </c>
      <c r="F11" s="39" t="n">
        <f aca="false">F10*F9</f>
        <v>4210289.33804384</v>
      </c>
      <c r="G11" s="39" t="n">
        <f aca="false">G10*G9</f>
        <v>4294495.12480471</v>
      </c>
    </row>
    <row r="12" customFormat="false" ht="15" hidden="false" customHeight="false" outlineLevel="0" collapsed="false">
      <c r="A12" s="37" t="s">
        <v>275</v>
      </c>
      <c r="B12" s="39" t="n">
        <v>0</v>
      </c>
      <c r="C12" s="39" t="n">
        <f aca="false">'Control Panel &amp; Inputs'!$C$45*POWER(1+'Control Panel &amp; Inputs'!$C$46,0)</f>
        <v>10877000</v>
      </c>
      <c r="D12" s="39" t="n">
        <f aca="false">'Control Panel &amp; Inputs'!$C$45*POWER(1+'Control Panel &amp; Inputs'!$C$46,1)</f>
        <v>11203310</v>
      </c>
      <c r="E12" s="39" t="n">
        <f aca="false">'Control Panel &amp; Inputs'!$C$45*POWER(1+'Control Panel &amp; Inputs'!$C$46,2)</f>
        <v>11539409.3</v>
      </c>
      <c r="F12" s="39" t="n">
        <f aca="false">'Control Panel &amp; Inputs'!$C$45*POWER(1+'Control Panel &amp; Inputs'!$C$46,3)</f>
        <v>11885591.579</v>
      </c>
      <c r="G12" s="39" t="n">
        <f aca="false">'Control Panel &amp; Inputs'!$C$45*POWER(1+'Control Panel &amp; Inputs'!$C$46,4)</f>
        <v>12242159.32637</v>
      </c>
    </row>
    <row r="13" customFormat="false" ht="15" hidden="false" customHeight="false" outlineLevel="0" collapsed="false">
      <c r="A13" s="37" t="s">
        <v>276</v>
      </c>
      <c r="B13" s="39" t="n">
        <v>0</v>
      </c>
      <c r="C13" s="39" t="n">
        <f aca="false">C11+C12</f>
        <v>14844449.678144</v>
      </c>
      <c r="D13" s="39" t="n">
        <f aca="false">D11+D12</f>
        <v>15250108.6717069</v>
      </c>
      <c r="E13" s="39" t="n">
        <f aca="false">E11+E12</f>
        <v>15667143.945141</v>
      </c>
      <c r="F13" s="39" t="n">
        <f aca="false">F11+F12</f>
        <v>16095880.9170438</v>
      </c>
      <c r="G13" s="39" t="n">
        <f aca="false">G11+G12</f>
        <v>16536654.4511747</v>
      </c>
    </row>
    <row r="14" customFormat="false" ht="15" hidden="false" customHeight="false" outlineLevel="0" collapsed="false">
      <c r="A14" s="37" t="s">
        <v>277</v>
      </c>
      <c r="B14" s="39" t="n">
        <v>0</v>
      </c>
      <c r="C14" s="39" t="n">
        <f aca="false">C8-C13</f>
        <v>60755550.321856</v>
      </c>
      <c r="D14" s="39" t="n">
        <f aca="false">D8-D13</f>
        <v>70324891.3282931</v>
      </c>
      <c r="E14" s="39" t="n">
        <f aca="false">E8-E13</f>
        <v>71581293.554859</v>
      </c>
      <c r="F14" s="39" t="n">
        <f aca="false">F8-F13</f>
        <v>72930583.9267062</v>
      </c>
      <c r="G14" s="39" t="n">
        <f aca="false">G8-G13</f>
        <v>74378964.4453097</v>
      </c>
    </row>
    <row r="15" customFormat="false" ht="15" hidden="false" customHeight="false" outlineLevel="0" collapsed="false">
      <c r="A15" s="37" t="s">
        <v>278</v>
      </c>
      <c r="B15" s="38" t="n">
        <v>0</v>
      </c>
      <c r="C15" s="38" t="n">
        <f aca="false">C14/C8</f>
        <v>0.803644845527196</v>
      </c>
      <c r="D15" s="38" t="n">
        <f aca="false">D14/D8</f>
        <v>0.821792478273948</v>
      </c>
      <c r="E15" s="38" t="n">
        <f aca="false">E14/E8</f>
        <v>0.820430664501688</v>
      </c>
      <c r="F15" s="38" t="n">
        <f aca="false">F14/F8</f>
        <v>0.819201167368673</v>
      </c>
      <c r="G15" s="38" t="n">
        <f aca="false">G14/G8</f>
        <v>0.818109862178872</v>
      </c>
    </row>
    <row r="16" customFormat="false" ht="15" hidden="false" customHeight="false" outlineLevel="0" collapsed="false">
      <c r="A16" s="37" t="s">
        <v>279</v>
      </c>
      <c r="B16" s="39" t="n">
        <f aca="false">'Control Panel &amp; Inputs'!$C$35</f>
        <v>139500000</v>
      </c>
      <c r="C16" s="39" t="n">
        <v>0</v>
      </c>
      <c r="D16" s="39" t="n">
        <v>0</v>
      </c>
      <c r="E16" s="39" t="n">
        <v>0</v>
      </c>
      <c r="F16" s="39" t="n">
        <v>0</v>
      </c>
      <c r="G16" s="39" t="n">
        <v>0</v>
      </c>
    </row>
    <row r="17" customFormat="false" ht="15" hidden="false" customHeight="false" outlineLevel="0" collapsed="false">
      <c r="A17" s="37" t="s">
        <v>280</v>
      </c>
      <c r="B17" s="39" t="n">
        <f aca="false">B16*'Control Panel &amp; Inputs'!$C$37</f>
        <v>111600000</v>
      </c>
      <c r="C17" s="39" t="n">
        <v>0</v>
      </c>
      <c r="D17" s="39" t="n">
        <v>0</v>
      </c>
      <c r="E17" s="39" t="n">
        <v>0</v>
      </c>
      <c r="F17" s="39" t="n">
        <v>0</v>
      </c>
      <c r="G17" s="39" t="n">
        <v>0</v>
      </c>
    </row>
    <row r="18" customFormat="false" ht="15" hidden="false" customHeight="false" outlineLevel="0" collapsed="false">
      <c r="A18" s="37" t="s">
        <v>281</v>
      </c>
      <c r="B18" s="39" t="n">
        <f aca="false">B16-B17</f>
        <v>27900000</v>
      </c>
      <c r="C18" s="39" t="n">
        <v>0</v>
      </c>
      <c r="D18" s="39" t="n">
        <v>0</v>
      </c>
      <c r="E18" s="39" t="n">
        <v>0</v>
      </c>
      <c r="F18" s="39" t="n">
        <v>0</v>
      </c>
      <c r="G18" s="39" t="n">
        <v>0</v>
      </c>
    </row>
    <row r="19" customFormat="false" ht="15" hidden="false" customHeight="false" outlineLevel="0" collapsed="false">
      <c r="A19" s="37" t="s">
        <v>282</v>
      </c>
      <c r="B19" s="39" t="n">
        <v>0</v>
      </c>
      <c r="C19" s="39" t="n">
        <f aca="false">B17</f>
        <v>111600000</v>
      </c>
      <c r="D19" s="39" t="n">
        <f aca="false">C23</f>
        <v>91999185.6041205</v>
      </c>
      <c r="E19" s="39" t="n">
        <f aca="false">D23</f>
        <v>71124318.2725088</v>
      </c>
      <c r="F19" s="39" t="n">
        <f aca="false">E23</f>
        <v>48892584.5643424</v>
      </c>
      <c r="G19" s="39" t="n">
        <f aca="false">F23</f>
        <v>25215788.1651451</v>
      </c>
    </row>
    <row r="20" customFormat="false" ht="15" hidden="false" customHeight="false" outlineLevel="0" collapsed="false">
      <c r="A20" s="37" t="s">
        <v>283</v>
      </c>
      <c r="B20" s="39" t="n">
        <v>0</v>
      </c>
      <c r="C20" s="39" t="n">
        <f aca="false">IF(1&lt;='Control Panel &amp; Inputs'!$C$39,-PMT('Control Panel &amp; Inputs'!$C$38,'Control Panel &amp; Inputs'!$C$39,B17),0)</f>
        <v>26854814.3958795</v>
      </c>
      <c r="D20" s="39" t="n">
        <f aca="false">IF(2&lt;='Control Panel &amp; Inputs'!$C$39,-PMT('Control Panel &amp; Inputs'!$C$38,'Control Panel &amp; Inputs'!$C$39,B17),0)</f>
        <v>26854814.3958795</v>
      </c>
      <c r="E20" s="39" t="n">
        <f aca="false">IF(3&lt;='Control Panel &amp; Inputs'!$C$39,-PMT('Control Panel &amp; Inputs'!$C$38,'Control Panel &amp; Inputs'!$C$39,B17),0)</f>
        <v>26854814.3958795</v>
      </c>
      <c r="F20" s="39" t="n">
        <f aca="false">IF(4&lt;='Control Panel &amp; Inputs'!$C$39,-PMT('Control Panel &amp; Inputs'!$C$38,'Control Panel &amp; Inputs'!$C$39,B17),0)</f>
        <v>26854814.3958795</v>
      </c>
      <c r="G20" s="39" t="n">
        <f aca="false">IF(5&lt;='Control Panel &amp; Inputs'!$C$39,-PMT('Control Panel &amp; Inputs'!$C$38,'Control Panel &amp; Inputs'!$C$39,B17),0)</f>
        <v>26854814.3958795</v>
      </c>
    </row>
    <row r="21" customFormat="false" ht="15" hidden="false" customHeight="false" outlineLevel="0" collapsed="false">
      <c r="A21" s="37" t="s">
        <v>284</v>
      </c>
      <c r="B21" s="39" t="n">
        <v>0</v>
      </c>
      <c r="C21" s="39" t="n">
        <f aca="false">C19*'Control Panel &amp; Inputs'!$C$38</f>
        <v>7254000</v>
      </c>
      <c r="D21" s="39" t="n">
        <f aca="false">D19*'Control Panel &amp; Inputs'!$C$38</f>
        <v>5979947.06426783</v>
      </c>
      <c r="E21" s="39" t="n">
        <f aca="false">E19*'Control Panel &amp; Inputs'!$C$38</f>
        <v>4623080.68771307</v>
      </c>
      <c r="F21" s="39" t="n">
        <f aca="false">F19*'Control Panel &amp; Inputs'!$C$38</f>
        <v>3178017.99668225</v>
      </c>
      <c r="G21" s="39" t="n">
        <f aca="false">G19*'Control Panel &amp; Inputs'!$C$38</f>
        <v>1639026.23073443</v>
      </c>
    </row>
    <row r="22" customFormat="false" ht="15" hidden="false" customHeight="false" outlineLevel="0" collapsed="false">
      <c r="A22" s="37" t="s">
        <v>285</v>
      </c>
      <c r="B22" s="39" t="n">
        <v>0</v>
      </c>
      <c r="C22" s="39" t="n">
        <f aca="false">C20-C21</f>
        <v>19600814.3958795</v>
      </c>
      <c r="D22" s="39" t="n">
        <f aca="false">D20-D21</f>
        <v>20874867.3316117</v>
      </c>
      <c r="E22" s="39" t="n">
        <f aca="false">E20-E21</f>
        <v>22231733.7081664</v>
      </c>
      <c r="F22" s="39" t="n">
        <f aca="false">F20-F21</f>
        <v>23676796.3991973</v>
      </c>
      <c r="G22" s="39" t="n">
        <f aca="false">G20-G21</f>
        <v>25215788.1651451</v>
      </c>
    </row>
    <row r="23" customFormat="false" ht="15" hidden="false" customHeight="false" outlineLevel="0" collapsed="false">
      <c r="A23" s="37" t="s">
        <v>286</v>
      </c>
      <c r="B23" s="39" t="n">
        <v>0</v>
      </c>
      <c r="C23" s="39" t="n">
        <f aca="false">C19-C22</f>
        <v>91999185.6041205</v>
      </c>
      <c r="D23" s="39" t="n">
        <f aca="false">D19-D22</f>
        <v>71124318.2725088</v>
      </c>
      <c r="E23" s="39" t="n">
        <f aca="false">E19-E22</f>
        <v>48892584.5643424</v>
      </c>
      <c r="F23" s="39" t="n">
        <f aca="false">F19-F22</f>
        <v>25215788.1651451</v>
      </c>
      <c r="G23" s="39" t="n">
        <f aca="false">G19-G22</f>
        <v>0</v>
      </c>
    </row>
    <row r="24" customFormat="false" ht="15" hidden="false" customHeight="false" outlineLevel="0" collapsed="false">
      <c r="A24" s="37" t="s">
        <v>287</v>
      </c>
      <c r="B24" s="39" t="n">
        <v>0</v>
      </c>
      <c r="C24" s="39" t="n">
        <f aca="false">IF(1&lt;='Control Panel &amp; Inputs'!$C$41,B16/'Control Panel &amp; Inputs'!$C$41,0)</f>
        <v>27900000</v>
      </c>
      <c r="D24" s="39" t="n">
        <f aca="false">IF(2&lt;='Control Panel &amp; Inputs'!$C$41,B16/'Control Panel &amp; Inputs'!$C$41,0)</f>
        <v>27900000</v>
      </c>
      <c r="E24" s="39" t="n">
        <f aca="false">IF(3&lt;='Control Panel &amp; Inputs'!$C$41,B16/'Control Panel &amp; Inputs'!$C$41,0)</f>
        <v>27900000</v>
      </c>
      <c r="F24" s="39" t="n">
        <f aca="false">IF(4&lt;='Control Panel &amp; Inputs'!$C$41,B16/'Control Panel &amp; Inputs'!$C$41,0)</f>
        <v>27900000</v>
      </c>
      <c r="G24" s="39" t="n">
        <f aca="false">IF(5&lt;='Control Panel &amp; Inputs'!$C$41,B16/'Control Panel &amp; Inputs'!$C$41,0)</f>
        <v>27900000</v>
      </c>
    </row>
    <row r="25" customFormat="false" ht="15" hidden="false" customHeight="false" outlineLevel="0" collapsed="false">
      <c r="A25" s="37" t="s">
        <v>288</v>
      </c>
      <c r="B25" s="39" t="n">
        <v>0</v>
      </c>
      <c r="C25" s="39" t="n">
        <f aca="false">MIN(C21,'Control Panel &amp; Inputs'!$C$43*C14)</f>
        <v>7254000</v>
      </c>
      <c r="D25" s="39" t="n">
        <f aca="false">MIN(D21,'Control Panel &amp; Inputs'!$C$43*D14)</f>
        <v>5979947.06426783</v>
      </c>
      <c r="E25" s="39" t="n">
        <f aca="false">MIN(E21,'Control Panel &amp; Inputs'!$C$43*E14)</f>
        <v>4623080.68771307</v>
      </c>
      <c r="F25" s="39" t="n">
        <f aca="false">MIN(F21,'Control Panel &amp; Inputs'!$C$43*F14)</f>
        <v>3178017.99668225</v>
      </c>
      <c r="G25" s="39" t="n">
        <f aca="false">MIN(G21,'Control Panel &amp; Inputs'!$C$43*G14)</f>
        <v>1639026.23073443</v>
      </c>
    </row>
    <row r="26" customFormat="false" ht="15" hidden="false" customHeight="false" outlineLevel="0" collapsed="false">
      <c r="A26" s="37" t="s">
        <v>289</v>
      </c>
      <c r="B26" s="39" t="n">
        <v>0</v>
      </c>
      <c r="C26" s="39" t="n">
        <f aca="false">C14-C24-C25</f>
        <v>25601550.321856</v>
      </c>
      <c r="D26" s="39" t="n">
        <f aca="false">D14-D24-D25</f>
        <v>36444944.2640253</v>
      </c>
      <c r="E26" s="39" t="n">
        <f aca="false">E14-E24-E25</f>
        <v>39058212.8671459</v>
      </c>
      <c r="F26" s="39" t="n">
        <f aca="false">F14-F24-F25</f>
        <v>41852565.9300239</v>
      </c>
      <c r="G26" s="39" t="n">
        <f aca="false">G14-G24-G25</f>
        <v>44839938.2145752</v>
      </c>
    </row>
    <row r="27" customFormat="false" ht="15" hidden="false" customHeight="false" outlineLevel="0" collapsed="false">
      <c r="A27" s="37" t="s">
        <v>290</v>
      </c>
      <c r="B27" s="39" t="n">
        <v>0</v>
      </c>
      <c r="C27" s="39" t="n">
        <f aca="false">MAX(0,C26)*'Control Panel &amp; Inputs'!$C$42</f>
        <v>2304139.52896704</v>
      </c>
      <c r="D27" s="39" t="n">
        <f aca="false">MAX(0,D26)*'Control Panel &amp; Inputs'!$C$42</f>
        <v>3280044.98376228</v>
      </c>
      <c r="E27" s="39" t="n">
        <f aca="false">MAX(0,E26)*'Control Panel &amp; Inputs'!$C$42</f>
        <v>3515239.15804313</v>
      </c>
      <c r="F27" s="39" t="n">
        <f aca="false">MAX(0,F26)*'Control Panel &amp; Inputs'!$C$42</f>
        <v>3766730.93370215</v>
      </c>
      <c r="G27" s="39" t="n">
        <f aca="false">MAX(0,G26)*'Control Panel &amp; Inputs'!$C$42</f>
        <v>4035594.43931177</v>
      </c>
    </row>
    <row r="28" customFormat="false" ht="15" hidden="false" customHeight="false" outlineLevel="0" collapsed="false">
      <c r="A28" s="37" t="s">
        <v>291</v>
      </c>
      <c r="B28" s="39" t="n">
        <v>0</v>
      </c>
      <c r="C28" s="39" t="n">
        <v>0</v>
      </c>
      <c r="D28" s="39" t="n">
        <v>0</v>
      </c>
      <c r="E28" s="39" t="n">
        <v>0</v>
      </c>
      <c r="F28" s="39" t="n">
        <v>0</v>
      </c>
      <c r="G28" s="39" t="n">
        <f aca="false">'Control Panel &amp; Inputs'!$C$35*'Control Panel &amp; Inputs'!$C$36</f>
        <v>13950000</v>
      </c>
    </row>
    <row r="29" customFormat="false" ht="15" hidden="false" customHeight="false" outlineLevel="0" collapsed="false">
      <c r="A29" s="42" t="s">
        <v>292</v>
      </c>
      <c r="B29" s="43" t="n">
        <f aca="false">-B18</f>
        <v>-27900000</v>
      </c>
      <c r="C29" s="43" t="n">
        <f aca="false">C14-C20-C27+C28</f>
        <v>31596596.3970094</v>
      </c>
      <c r="D29" s="43" t="n">
        <f aca="false">D14-D20-D27+D28</f>
        <v>40190031.9486513</v>
      </c>
      <c r="E29" s="43" t="n">
        <f aca="false">E14-E20-E27+E28</f>
        <v>41211240.0009363</v>
      </c>
      <c r="F29" s="43" t="n">
        <f aca="false">F14-F20-F27+F28</f>
        <v>42309038.5971245</v>
      </c>
      <c r="G29" s="43" t="n">
        <f aca="false">G14-G20-G27+G28</f>
        <v>57438555.6101184</v>
      </c>
    </row>
    <row r="30" customFormat="false" ht="15" hidden="false" customHeight="false" outlineLevel="0" collapsed="false">
      <c r="A30" s="37" t="s">
        <v>293</v>
      </c>
      <c r="B30" s="39" t="n">
        <f aca="false">B29</f>
        <v>-27900000</v>
      </c>
      <c r="C30" s="39" t="n">
        <f aca="false">B30+C29</f>
        <v>3696596.39700945</v>
      </c>
      <c r="D30" s="39" t="n">
        <f aca="false">C30+D29</f>
        <v>43886628.3456608</v>
      </c>
      <c r="E30" s="39" t="n">
        <f aca="false">D30+E29</f>
        <v>85097868.3465971</v>
      </c>
      <c r="F30" s="39" t="n">
        <f aca="false">E30+F29</f>
        <v>127406906.943722</v>
      </c>
      <c r="G30" s="39" t="n">
        <f aca="false">F30+G29</f>
        <v>184845462.55384</v>
      </c>
    </row>
    <row r="31" customFormat="false" ht="15" hidden="false" customHeight="false" outlineLevel="0" collapsed="false">
      <c r="A31" s="37" t="s">
        <v>294</v>
      </c>
      <c r="B31" s="44" t="n">
        <v>0</v>
      </c>
      <c r="C31" s="44" t="n">
        <f aca="false">IF(C20=0,"",C14/C20)</f>
        <v>2.26237088911618</v>
      </c>
      <c r="D31" s="44" t="n">
        <f aca="false">IF(D20=0,"",D14/D20)</f>
        <v>2.61870703299604</v>
      </c>
      <c r="E31" s="44" t="n">
        <f aca="false">IF(E20=0,"",E14/E20)</f>
        <v>2.6654920231302</v>
      </c>
      <c r="F31" s="44" t="n">
        <f aca="false">IF(F20=0,"",F14/F20)</f>
        <v>2.71573591429834</v>
      </c>
      <c r="G31" s="44" t="n">
        <f aca="false">IF(G20=0,"",G14/G20)</f>
        <v>2.76966965210983</v>
      </c>
    </row>
    <row r="32" customFormat="false" ht="15" hidden="false" customHeight="false" outlineLevel="0" collapsed="false">
      <c r="A32" s="37" t="s">
        <v>295</v>
      </c>
      <c r="B32" s="39" t="n">
        <v>0</v>
      </c>
      <c r="C32" s="39" t="n">
        <f aca="false">MAX(0,C14-C24)*'Control Panel &amp; Inputs'!$C$42</f>
        <v>2956999.52896704</v>
      </c>
      <c r="D32" s="39" t="n">
        <f aca="false">MAX(0,D14-D24)*'Control Panel &amp; Inputs'!$C$42</f>
        <v>3818240.21954638</v>
      </c>
      <c r="E32" s="39" t="n">
        <f aca="false">MAX(0,E14-E24)*'Control Panel &amp; Inputs'!$C$42</f>
        <v>3931316.41993731</v>
      </c>
      <c r="F32" s="39" t="n">
        <f aca="false">MAX(0,F14-F24)*'Control Panel &amp; Inputs'!$C$42</f>
        <v>4052752.55340355</v>
      </c>
      <c r="G32" s="39" t="n">
        <f aca="false">MAX(0,G14-G24)*'Control Panel &amp; Inputs'!$C$42</f>
        <v>4183106.80007787</v>
      </c>
    </row>
    <row r="33" customFormat="false" ht="15" hidden="false" customHeight="false" outlineLevel="0" collapsed="false">
      <c r="A33" s="37" t="s">
        <v>296</v>
      </c>
      <c r="B33" s="39" t="n">
        <f aca="false">-B16</f>
        <v>-139500000</v>
      </c>
      <c r="C33" s="39" t="n">
        <f aca="false">C14-C32+C28</f>
        <v>57798550.792889</v>
      </c>
      <c r="D33" s="39" t="n">
        <f aca="false">D14-D32+D28</f>
        <v>66506651.1087467</v>
      </c>
      <c r="E33" s="39" t="n">
        <f aca="false">E14-E32+E28</f>
        <v>67649977.1349217</v>
      </c>
      <c r="F33" s="39" t="n">
        <f aca="false">F14-F32+F28</f>
        <v>68877831.3733026</v>
      </c>
      <c r="G33" s="39" t="n">
        <f aca="false">G14-G32+G28</f>
        <v>84145857.6452318</v>
      </c>
    </row>
    <row r="35" customFormat="false" ht="15" hidden="false" customHeight="false" outlineLevel="0" collapsed="false">
      <c r="A35" s="45" t="s">
        <v>297</v>
      </c>
    </row>
    <row r="36" customFormat="false" ht="15" hidden="false" customHeight="false" outlineLevel="0" collapsed="false">
      <c r="A36" s="4" t="s">
        <v>6</v>
      </c>
      <c r="B36" s="46" t="n">
        <f aca="false">IRR(B29:G29)</f>
        <v>1.26506825092475</v>
      </c>
    </row>
    <row r="37" customFormat="false" ht="15" hidden="false" customHeight="false" outlineLevel="0" collapsed="false">
      <c r="A37" s="4" t="s">
        <v>9</v>
      </c>
      <c r="B37" s="46" t="n">
        <f aca="false">IRR(B33:G33)</f>
        <v>0.37548919844065</v>
      </c>
    </row>
    <row r="38" customFormat="false" ht="15" hidden="false" customHeight="false" outlineLevel="0" collapsed="false">
      <c r="A38" s="4" t="s">
        <v>10</v>
      </c>
      <c r="B38" s="47" t="n">
        <f aca="false">B29+NPV('Control Panel &amp; Inputs'!$C$44,C29:G29)</f>
        <v>109809242.3148</v>
      </c>
    </row>
    <row r="39" customFormat="false" ht="15" hidden="false" customHeight="false" outlineLevel="0" collapsed="false">
      <c r="A39" s="4" t="s">
        <v>298</v>
      </c>
      <c r="B39" s="48" t="n">
        <f aca="false">SUM(C29:G29)/-B29</f>
        <v>7.62528539619498</v>
      </c>
    </row>
    <row r="40" customFormat="false" ht="15" hidden="false" customHeight="false" outlineLevel="0" collapsed="false">
      <c r="A40" s="4" t="s">
        <v>14</v>
      </c>
      <c r="B40" s="49" t="n">
        <f aca="false">IFERROR(COUNTIF(B30:G30,"&lt;0")-1+ABS(INDEX(B30:G30,COUNTIF(B30:G30,"&lt;0")))/INDEX(B29:G29,COUNTIF(B30:G30,"&lt;0")+1),"&gt;5 yrs")</f>
        <v>0.8830065001128</v>
      </c>
    </row>
    <row r="41" customFormat="false" ht="15" hidden="false" customHeight="false" outlineLevel="0" collapsed="false">
      <c r="A41" s="4" t="s">
        <v>19</v>
      </c>
      <c r="B41" s="48" t="n">
        <f aca="false">MIN(C31:G31)</f>
        <v>2.26237088911618</v>
      </c>
    </row>
    <row r="42" customFormat="false" ht="15" hidden="false" customHeight="false" outlineLevel="0" collapsed="false">
      <c r="A42" s="4" t="s">
        <v>299</v>
      </c>
      <c r="B42" s="48" t="n">
        <f aca="false">AVERAGE(C31:G31)</f>
        <v>2.60639510233012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302</v>
      </c>
    </row>
    <row r="5" customFormat="false" ht="15" hidden="false" customHeight="false" outlineLevel="0" collapsed="false">
      <c r="A5" s="6" t="s">
        <v>30</v>
      </c>
      <c r="B5" s="34" t="n">
        <f aca="false">'Control Panel &amp; Inputs'!$C$12*'Control Panel &amp; Inputs'!$C$21</f>
        <v>2304</v>
      </c>
      <c r="C5" s="6" t="s">
        <v>31</v>
      </c>
      <c r="D5" s="6" t="s">
        <v>303</v>
      </c>
    </row>
    <row r="6" customFormat="false" ht="15" hidden="false" customHeight="false" outlineLevel="0" collapsed="false">
      <c r="A6" s="6" t="s">
        <v>304</v>
      </c>
      <c r="B6" s="34" t="n">
        <f aca="false">B5*8760*'Control Panel &amp; Inputs'!$C$30</f>
        <v>20082124.8</v>
      </c>
      <c r="C6" s="6" t="s">
        <v>305</v>
      </c>
      <c r="D6" s="6" t="s">
        <v>306</v>
      </c>
    </row>
    <row r="7" customFormat="false" ht="15" hidden="false" customHeight="false" outlineLevel="0" collapsed="false">
      <c r="A7" s="6" t="s">
        <v>307</v>
      </c>
      <c r="B7" s="34" t="n">
        <f aca="false">B6*'Control Panel &amp; Inputs'!$C$29</f>
        <v>17069806.08</v>
      </c>
      <c r="C7" s="6" t="s">
        <v>305</v>
      </c>
      <c r="D7" s="6" t="s">
        <v>308</v>
      </c>
    </row>
    <row r="8" customFormat="false" ht="15" hidden="false" customHeight="false" outlineLevel="0" collapsed="false">
      <c r="A8" s="6" t="s">
        <v>35</v>
      </c>
      <c r="B8" s="50" t="n">
        <f aca="false">'Pro Forma Financials'!D$8/B7</f>
        <v>5.01323797112521</v>
      </c>
      <c r="C8" s="6" t="s">
        <v>36</v>
      </c>
      <c r="D8" s="6" t="s">
        <v>309</v>
      </c>
    </row>
    <row r="9" customFormat="false" ht="15" hidden="false" customHeight="false" outlineLevel="0" collapsed="false">
      <c r="A9" s="6" t="s">
        <v>310</v>
      </c>
      <c r="B9" s="50" t="n">
        <f aca="false">'Pro Forma Financials'!D$13/B7</f>
        <v>0.893396714657164</v>
      </c>
      <c r="C9" s="6" t="s">
        <v>36</v>
      </c>
      <c r="D9" s="6" t="s">
        <v>311</v>
      </c>
    </row>
    <row r="10" customFormat="false" ht="15" hidden="false" customHeight="false" outlineLevel="0" collapsed="false">
      <c r="A10" s="6" t="s">
        <v>312</v>
      </c>
      <c r="B10" s="50" t="n">
        <f aca="false">B8-B9</f>
        <v>4.11984125646805</v>
      </c>
      <c r="C10" s="6" t="s">
        <v>36</v>
      </c>
      <c r="D10" s="6" t="s">
        <v>313</v>
      </c>
    </row>
    <row r="11" customFormat="false" ht="15" hidden="false" customHeight="false" outlineLevel="0" collapsed="false">
      <c r="A11" s="6" t="s">
        <v>33</v>
      </c>
      <c r="B11" s="51" t="n">
        <f aca="false">'Control Panel &amp; Inputs'!$C$35/B5</f>
        <v>60546.875</v>
      </c>
      <c r="C11" s="6" t="s">
        <v>34</v>
      </c>
      <c r="D11" s="6" t="s">
        <v>314</v>
      </c>
    </row>
    <row r="12" customFormat="false" ht="15" hidden="false" customHeight="false" outlineLevel="0" collapsed="false">
      <c r="A12" s="6" t="s">
        <v>315</v>
      </c>
      <c r="B12" s="51" t="n">
        <f aca="false">'Control Panel &amp; Inputs'!$C$35/('Thermal Hydraulics &amp; MLC'!$B$8/1000)</f>
        <v>16880445.3049371</v>
      </c>
      <c r="C12" s="6" t="s">
        <v>316</v>
      </c>
      <c r="D12" s="6" t="s">
        <v>317</v>
      </c>
    </row>
    <row r="13" customFormat="false" ht="15" hidden="false" customHeight="false" outlineLevel="0" collapsed="false">
      <c r="A13" s="6" t="s">
        <v>318</v>
      </c>
      <c r="B13" s="51" t="n">
        <f aca="false">'Pro Forma Financials'!D$8/('Thermal Hydraulics &amp; MLC'!$B$8/1000)</f>
        <v>10355154.8886738</v>
      </c>
      <c r="C13" s="6" t="s">
        <v>319</v>
      </c>
      <c r="D13" s="6" t="s">
        <v>320</v>
      </c>
    </row>
    <row r="14" customFormat="false" ht="15" hidden="false" customHeight="false" outlineLevel="0" collapsed="false">
      <c r="A14" s="6" t="s">
        <v>321</v>
      </c>
      <c r="B14" s="33" t="n">
        <f aca="false">B5*'Control Panel &amp; Inputs'!$C$32*'Control Panel &amp; Inputs'!$C$31*3600*8760*'Control Panel &amp; Inputs'!$C$29*'Control Panel &amp; Inputs'!$C$30/1000000000000</f>
        <v>33.18370301952</v>
      </c>
      <c r="C14" s="6" t="s">
        <v>322</v>
      </c>
      <c r="D14" s="6" t="s">
        <v>323</v>
      </c>
    </row>
    <row r="15" customFormat="false" ht="15" hidden="false" customHeight="false" outlineLevel="0" collapsed="false">
      <c r="A15" s="6" t="s">
        <v>324</v>
      </c>
      <c r="B15" s="50" t="n">
        <f aca="false">'Pro Forma Financials'!D$7/(B14*1000000)</f>
        <v>0.806871975205717</v>
      </c>
      <c r="C15" s="6" t="s">
        <v>38</v>
      </c>
      <c r="D15" s="6" t="s">
        <v>325</v>
      </c>
    </row>
    <row r="16" customFormat="false" ht="15" hidden="false" customHeight="false" outlineLevel="0" collapsed="false">
      <c r="A16" s="6" t="s">
        <v>37</v>
      </c>
      <c r="B16" s="50" t="n">
        <f aca="false">'Pro Forma Financials'!D$13*'Control Panel &amp; Inputs'!$C$32/(B14*1000000)</f>
        <v>0.137869863373019</v>
      </c>
      <c r="C16" s="6" t="s">
        <v>38</v>
      </c>
      <c r="D16" s="6" t="s">
        <v>326</v>
      </c>
    </row>
    <row r="17" customFormat="false" ht="15" hidden="false" customHeight="false" outlineLevel="0" collapsed="false">
      <c r="A17" s="6" t="s">
        <v>39</v>
      </c>
      <c r="B17" s="36" t="n">
        <f aca="false">'Pro Forma Financials'!D$11/'Pro Forma Financials'!D$8</f>
        <v>0.0472894966018917</v>
      </c>
      <c r="C17" s="6" t="s">
        <v>7</v>
      </c>
      <c r="D17" s="6" t="s">
        <v>327</v>
      </c>
    </row>
    <row r="18" customFormat="false" ht="15" hidden="false" customHeight="false" outlineLevel="0" collapsed="false">
      <c r="A18" s="6" t="s">
        <v>328</v>
      </c>
      <c r="B18" s="52" t="n">
        <f aca="false">('Pro Forma Financials'!D$8-'Pro Forma Financials'!D$12)/'Pro Forma Financials'!D$10</f>
        <v>1.12472791389946</v>
      </c>
      <c r="C18" s="6" t="s">
        <v>41</v>
      </c>
      <c r="D18" s="6" t="s">
        <v>329</v>
      </c>
    </row>
    <row r="19" customFormat="false" ht="15" hidden="false" customHeight="false" outlineLevel="0" collapsed="false">
      <c r="A19" s="6" t="s">
        <v>330</v>
      </c>
      <c r="B19" s="51" t="n">
        <f aca="false">'Pro Forma Financials'!D$20+'Pro Forma Financials'!D$13</f>
        <v>42104923.0675864</v>
      </c>
      <c r="C19" s="6" t="s">
        <v>149</v>
      </c>
      <c r="D19" s="6" t="s">
        <v>331</v>
      </c>
    </row>
    <row r="20" customFormat="false" ht="15" hidden="false" customHeight="false" outlineLevel="0" collapsed="false">
      <c r="A20" s="6" t="s">
        <v>332</v>
      </c>
      <c r="B20" s="36" t="n">
        <f aca="false">1-B19/'Pro Forma Financials'!D$8</f>
        <v>0.507976359128409</v>
      </c>
      <c r="C20" s="6" t="s">
        <v>7</v>
      </c>
      <c r="D20" s="6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19.7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15" hidden="false" customHeight="false" outlineLevel="0" collapsed="false">
      <c r="A4" s="3" t="s">
        <v>336</v>
      </c>
      <c r="B4" s="3" t="s">
        <v>337</v>
      </c>
      <c r="C4" s="3" t="s">
        <v>338</v>
      </c>
      <c r="D4" s="3" t="s">
        <v>339</v>
      </c>
      <c r="E4" s="3" t="s">
        <v>340</v>
      </c>
      <c r="F4" s="3" t="s">
        <v>341</v>
      </c>
      <c r="G4" s="3" t="s">
        <v>342</v>
      </c>
      <c r="H4" s="3" t="s">
        <v>343</v>
      </c>
      <c r="I4" s="3" t="s">
        <v>344</v>
      </c>
      <c r="J4" s="3" t="s">
        <v>345</v>
      </c>
      <c r="K4" s="3" t="s">
        <v>346</v>
      </c>
      <c r="L4" s="3" t="s">
        <v>347</v>
      </c>
      <c r="M4" s="3" t="s">
        <v>348</v>
      </c>
      <c r="N4" s="3" t="s">
        <v>349</v>
      </c>
    </row>
    <row r="5" customFormat="false" ht="15" hidden="false" customHeight="false" outlineLevel="0" collapsed="false">
      <c r="A5" s="6" t="s">
        <v>350</v>
      </c>
      <c r="B5" s="53" t="n">
        <v>0.04</v>
      </c>
      <c r="C5" s="54" t="n">
        <v>0.5</v>
      </c>
      <c r="D5" s="55" t="n">
        <f aca="false">'Control Panel &amp; Inputs'!$C$35*$C5</f>
        <v>69750000</v>
      </c>
      <c r="E5" s="55" t="n">
        <f aca="false">'Control Panel &amp; Inputs'!$C$35-$D5</f>
        <v>69750000</v>
      </c>
      <c r="F5" s="55" t="n">
        <f aca="false">-PMT('Control Panel &amp; Inputs'!$C$38,'Control Panel &amp; Inputs'!$C$39,$D5)</f>
        <v>16784258.9974247</v>
      </c>
      <c r="G5" s="55" t="n">
        <f aca="false">-$E5</f>
        <v>-69750000</v>
      </c>
      <c r="H5" s="55" t="n">
        <f aca="false">B23-IF(1&lt;='Control Panel &amp; Inputs'!$C$39,$F5,0)-MAX(0,B23-IF(1&lt;='Control Panel &amp; Inputs'!$C$41,'Control Panel &amp; Inputs'!$C$35/'Control Panel &amp; Inputs'!$C$41,0)-MIN(IF(1&lt;='Control Panel &amp; Inputs'!$C$39,-IPMT('Control Panel &amp; Inputs'!$C$38,1,'Control Panel &amp; Inputs'!$C$39,$D5),0),'Control Panel &amp; Inputs'!$C$43*B23))*'Control Panel &amp; Inputs'!$C$42</f>
        <v>42625789.0311679</v>
      </c>
      <c r="I5" s="55" t="n">
        <f aca="false">C23-IF(2&lt;='Control Panel &amp; Inputs'!$C$39,$F5,0)-MAX(0,C23-IF(2&lt;='Control Panel &amp; Inputs'!$C$41,'Control Panel &amp; Inputs'!$C$35/'Control Panel &amp; Inputs'!$C$41,0)-MIN(IF(2&lt;='Control Panel &amp; Inputs'!$C$39,-IPMT('Control Panel &amp; Inputs'!$C$38,2,'Control Panel &amp; Inputs'!$C$39,$D5),0),'Control Panel &amp; Inputs'!$C$43*C23))*'Control Panel &amp; Inputs'!$C$42</f>
        <v>51286293.0641049</v>
      </c>
      <c r="J5" s="55" t="n">
        <f aca="false">D23-IF(3&lt;='Control Panel &amp; Inputs'!$C$39,$F5,0)-MAX(0,D23-IF(3&lt;='Control Panel &amp; Inputs'!$C$41,'Control Panel &amp; Inputs'!$C$35/'Control Panel &amp; Inputs'!$C$41,0)-MIN(IF(3&lt;='Control Panel &amp; Inputs'!$C$39,-IPMT('Control Panel &amp; Inputs'!$C$38,3,'Control Panel &amp; Inputs'!$C$39,$D5),0),'Control Panel &amp; Inputs'!$C$43*D23))*'Control Panel &amp; Inputs'!$C$42</f>
        <v>52377845.935207</v>
      </c>
      <c r="K5" s="55" t="n">
        <f aca="false">E23-IF(4&lt;='Control Panel &amp; Inputs'!$C$39,$F5,0)-MAX(0,E23-IF(4&lt;='Control Panel &amp; Inputs'!$C$41,'Control Panel &amp; Inputs'!$C$35/'Control Panel &amp; Inputs'!$C$41,0)-MIN(IF(4&lt;='Control Panel &amp; Inputs'!$C$39,-IPMT('Control Panel &amp; Inputs'!$C$38,4,'Control Panel &amp; Inputs'!$C$39,$D5),0),'Control Panel &amp; Inputs'!$C$43*E23))*'Control Panel &amp; Inputs'!$C$42</f>
        <v>53549456.9873979</v>
      </c>
      <c r="L5" s="55" t="n">
        <f aca="false">F23-IF(5&lt;='Control Panel &amp; Inputs'!$C$39,$F5,0)-MAX(0,F23-IF(5&lt;='Control Panel &amp; Inputs'!$C$41,'Control Panel &amp; Inputs'!$C$35/'Control Panel &amp; Inputs'!$C$41,0)-MIN(IF(5&lt;='Control Panel &amp; Inputs'!$C$39,-IPMT('Control Panel &amp; Inputs'!$C$38,5,'Control Panel &amp; Inputs'!$C$39,$D5),0),'Control Panel &amp; Inputs'!$C$43*F23))*'Control Panel &amp; Inputs'!$C$42+'Control Panel &amp; Inputs'!$C$35*'Control Panel &amp; Inputs'!$C$36</f>
        <v>68756457.3944767</v>
      </c>
      <c r="M5" s="56" t="n">
        <f aca="false">IRR(G5:L5)</f>
        <v>0.643978746381705</v>
      </c>
      <c r="N5" s="57" t="n">
        <f aca="false">AVERAGE(B23:F23)/$F5</f>
        <v>4.25224061963126</v>
      </c>
    </row>
    <row r="6" customFormat="false" ht="15" hidden="false" customHeight="false" outlineLevel="0" collapsed="false">
      <c r="A6" s="6" t="s">
        <v>351</v>
      </c>
      <c r="B6" s="53" t="n">
        <v>0.04</v>
      </c>
      <c r="C6" s="54" t="n">
        <v>0.6</v>
      </c>
      <c r="D6" s="55" t="n">
        <f aca="false">'Control Panel &amp; Inputs'!$C$35*$C6</f>
        <v>83700000</v>
      </c>
      <c r="E6" s="55" t="n">
        <f aca="false">'Control Panel &amp; Inputs'!$C$35-$D6</f>
        <v>55800000</v>
      </c>
      <c r="F6" s="55" t="n">
        <f aca="false">-PMT('Control Panel &amp; Inputs'!$C$38,'Control Panel &amp; Inputs'!$C$39,$D6)</f>
        <v>20141110.7969096</v>
      </c>
      <c r="G6" s="55" t="n">
        <f aca="false">-$E6</f>
        <v>-55800000</v>
      </c>
      <c r="H6" s="55" t="n">
        <f aca="false">B24-IF(1&lt;='Control Panel &amp; Inputs'!$C$39,$F6,0)-MAX(0,B24-IF(1&lt;='Control Panel &amp; Inputs'!$C$41,'Control Panel &amp; Inputs'!$C$35/'Control Panel &amp; Inputs'!$C$41,0)-MIN(IF(1&lt;='Control Panel &amp; Inputs'!$C$39,-IPMT('Control Panel &amp; Inputs'!$C$38,1,'Control Panel &amp; Inputs'!$C$39,$D6),0),'Control Panel &amp; Inputs'!$C$43*B24))*'Control Panel &amp; Inputs'!$C$42</f>
        <v>39350544.731683</v>
      </c>
      <c r="I6" s="55" t="n">
        <f aca="false">C24-IF(2&lt;='Control Panel &amp; Inputs'!$C$39,$F6,0)-MAX(0,C24-IF(2&lt;='Control Panel &amp; Inputs'!$C$41,'Control Panel &amp; Inputs'!$C$35/'Control Panel &amp; Inputs'!$C$41,0)-MIN(IF(2&lt;='Control Panel &amp; Inputs'!$C$39,-IPMT('Control Panel &amp; Inputs'!$C$38,2,'Control Panel &amp; Inputs'!$C$39,$D6),0),'Control Panel &amp; Inputs'!$C$43*C24))*'Control Panel &amp; Inputs'!$C$42</f>
        <v>47996715.6690929</v>
      </c>
      <c r="J6" s="55" t="n">
        <f aca="false">D24-IF(3&lt;='Control Panel &amp; Inputs'!$C$39,$F6,0)-MAX(0,D24-IF(3&lt;='Control Panel &amp; Inputs'!$C$41,'Control Panel &amp; Inputs'!$C$35/'Control Panel &amp; Inputs'!$C$41,0)-MIN(IF(3&lt;='Control Panel &amp; Inputs'!$C$39,-IPMT('Control Panel &amp; Inputs'!$C$38,3,'Control Panel &amp; Inputs'!$C$39,$D6),0),'Control Panel &amp; Inputs'!$C$43*D24))*'Control Panel &amp; Inputs'!$C$42</f>
        <v>49073003.7934588</v>
      </c>
      <c r="K6" s="55" t="n">
        <f aca="false">E24-IF(4&lt;='Control Panel &amp; Inputs'!$C$39,$F6,0)-MAX(0,E24-IF(4&lt;='Control Panel &amp; Inputs'!$C$41,'Control Panel &amp; Inputs'!$C$35/'Control Panel &amp; Inputs'!$C$41,0)-MIN(IF(4&lt;='Control Panel &amp; Inputs'!$C$39,-IPMT('Control Panel &amp; Inputs'!$C$38,4,'Control Panel &amp; Inputs'!$C$39,$D6),0),'Control Panel &amp; Inputs'!$C$43*E24))*'Control Panel &amp; Inputs'!$C$42</f>
        <v>50228357.8903757</v>
      </c>
      <c r="L6" s="55" t="n">
        <f aca="false">F24-IF(5&lt;='Control Panel &amp; Inputs'!$C$39,$F6,0)-MAX(0,F24-IF(5&lt;='Control Panel &amp; Inputs'!$C$41,'Control Panel &amp; Inputs'!$C$35/'Control Panel &amp; Inputs'!$C$41,0)-MIN(IF(5&lt;='Control Panel &amp; Inputs'!$C$39,-IPMT('Control Panel &amp; Inputs'!$C$38,5,'Control Panel &amp; Inputs'!$C$39,$D6),0),'Control Panel &amp; Inputs'!$C$43*F24))*'Control Panel &amp; Inputs'!$C$42+'Control Panel &amp; Inputs'!$C$35*'Control Panel &amp; Inputs'!$C$36</f>
        <v>65418044.6400875</v>
      </c>
      <c r="M6" s="56" t="n">
        <f aca="false">IRR(G6:L6)</f>
        <v>0.762382519931947</v>
      </c>
      <c r="N6" s="57" t="n">
        <f aca="false">AVERAGE(B24:F24)/$F6</f>
        <v>3.54353384969272</v>
      </c>
    </row>
    <row r="7" customFormat="false" ht="15" hidden="false" customHeight="false" outlineLevel="0" collapsed="false">
      <c r="A7" s="6" t="s">
        <v>352</v>
      </c>
      <c r="B7" s="53" t="n">
        <v>0.04</v>
      </c>
      <c r="C7" s="54" t="n">
        <v>0.7</v>
      </c>
      <c r="D7" s="55" t="n">
        <f aca="false">'Control Panel &amp; Inputs'!$C$35*$C7</f>
        <v>97650000</v>
      </c>
      <c r="E7" s="55" t="n">
        <f aca="false">'Control Panel &amp; Inputs'!$C$35-$D7</f>
        <v>41850000</v>
      </c>
      <c r="F7" s="55" t="n">
        <f aca="false">-PMT('Control Panel &amp; Inputs'!$C$38,'Control Panel &amp; Inputs'!$C$39,$D7)</f>
        <v>23497962.5963946</v>
      </c>
      <c r="G7" s="55" t="n">
        <f aca="false">-$E7</f>
        <v>-41850000</v>
      </c>
      <c r="H7" s="55" t="n">
        <f aca="false">B25-IF(1&lt;='Control Panel &amp; Inputs'!$C$39,$F7,0)-MAX(0,B25-IF(1&lt;='Control Panel &amp; Inputs'!$C$41,'Control Panel &amp; Inputs'!$C$35/'Control Panel &amp; Inputs'!$C$41,0)-MIN(IF(1&lt;='Control Panel &amp; Inputs'!$C$39,-IPMT('Control Panel &amp; Inputs'!$C$38,1,'Control Panel &amp; Inputs'!$C$39,$D7),0),'Control Panel &amp; Inputs'!$C$43*B25))*'Control Panel &amp; Inputs'!$C$42</f>
        <v>36075300.4321981</v>
      </c>
      <c r="I7" s="55" t="n">
        <f aca="false">C25-IF(2&lt;='Control Panel &amp; Inputs'!$C$39,$F7,0)-MAX(0,C25-IF(2&lt;='Control Panel &amp; Inputs'!$C$41,'Control Panel &amp; Inputs'!$C$35/'Control Panel &amp; Inputs'!$C$41,0)-MIN(IF(2&lt;='Control Panel &amp; Inputs'!$C$39,-IPMT('Control Panel &amp; Inputs'!$C$38,2,'Control Panel &amp; Inputs'!$C$39,$D7),0),'Control Panel &amp; Inputs'!$C$43*C25))*'Control Panel &amp; Inputs'!$C$42</f>
        <v>44707138.274081</v>
      </c>
      <c r="J7" s="55" t="n">
        <f aca="false">D25-IF(3&lt;='Control Panel &amp; Inputs'!$C$39,$F7,0)-MAX(0,D25-IF(3&lt;='Control Panel &amp; Inputs'!$C$41,'Control Panel &amp; Inputs'!$C$35/'Control Panel &amp; Inputs'!$C$41,0)-MIN(IF(3&lt;='Control Panel &amp; Inputs'!$C$39,-IPMT('Control Panel &amp; Inputs'!$C$38,3,'Control Panel &amp; Inputs'!$C$39,$D7),0),'Control Panel &amp; Inputs'!$C$43*D25))*'Control Panel &amp; Inputs'!$C$42</f>
        <v>45768161.6517106</v>
      </c>
      <c r="K7" s="55" t="n">
        <f aca="false">E25-IF(4&lt;='Control Panel &amp; Inputs'!$C$39,$F7,0)-MAX(0,E25-IF(4&lt;='Control Panel &amp; Inputs'!$C$41,'Control Panel &amp; Inputs'!$C$35/'Control Panel &amp; Inputs'!$C$41,0)-MIN(IF(4&lt;='Control Panel &amp; Inputs'!$C$39,-IPMT('Control Panel &amp; Inputs'!$C$38,4,'Control Panel &amp; Inputs'!$C$39,$D7),0),'Control Panel &amp; Inputs'!$C$43*E25))*'Control Panel &amp; Inputs'!$C$42</f>
        <v>46907258.7933534</v>
      </c>
      <c r="L7" s="55" t="n">
        <f aca="false">F25-IF(5&lt;='Control Panel &amp; Inputs'!$C$39,$F7,0)-MAX(0,F25-IF(5&lt;='Control Panel &amp; Inputs'!$C$41,'Control Panel &amp; Inputs'!$C$35/'Control Panel &amp; Inputs'!$C$41,0)-MIN(IF(5&lt;='Control Panel &amp; Inputs'!$C$39,-IPMT('Control Panel &amp; Inputs'!$C$38,5,'Control Panel &amp; Inputs'!$C$39,$D7),0),'Control Panel &amp; Inputs'!$C$43*F25))*'Control Panel &amp; Inputs'!$C$42+'Control Panel &amp; Inputs'!$C$35*'Control Panel &amp; Inputs'!$C$36</f>
        <v>62079631.8856983</v>
      </c>
      <c r="M7" s="56" t="n">
        <f aca="false">IRR(G7:L7)</f>
        <v>0.950597457234898</v>
      </c>
      <c r="N7" s="57" t="n">
        <f aca="false">AVERAGE(B25:F25)/$F7</f>
        <v>3.03731472830805</v>
      </c>
    </row>
    <row r="8" customFormat="false" ht="15" hidden="false" customHeight="false" outlineLevel="0" collapsed="false">
      <c r="A8" s="6" t="s">
        <v>353</v>
      </c>
      <c r="B8" s="53" t="n">
        <v>0.04</v>
      </c>
      <c r="C8" s="54" t="n">
        <v>0.8</v>
      </c>
      <c r="D8" s="55" t="n">
        <f aca="false">'Control Panel &amp; Inputs'!$C$35*$C8</f>
        <v>111600000</v>
      </c>
      <c r="E8" s="55" t="n">
        <f aca="false">'Control Panel &amp; Inputs'!$C$35-$D8</f>
        <v>27900000</v>
      </c>
      <c r="F8" s="55" t="n">
        <f aca="false">-PMT('Control Panel &amp; Inputs'!$C$38,'Control Panel &amp; Inputs'!$C$39,$D8)</f>
        <v>26854814.3958795</v>
      </c>
      <c r="G8" s="55" t="n">
        <f aca="false">-$E8</f>
        <v>-27900000</v>
      </c>
      <c r="H8" s="55" t="n">
        <f aca="false">B26-IF(1&lt;='Control Panel &amp; Inputs'!$C$39,$F8,0)-MAX(0,B26-IF(1&lt;='Control Panel &amp; Inputs'!$C$41,'Control Panel &amp; Inputs'!$C$35/'Control Panel &amp; Inputs'!$C$41,0)-MIN(IF(1&lt;='Control Panel &amp; Inputs'!$C$39,-IPMT('Control Panel &amp; Inputs'!$C$38,1,'Control Panel &amp; Inputs'!$C$39,$D8),0),'Control Panel &amp; Inputs'!$C$43*B26))*'Control Panel &amp; Inputs'!$C$42</f>
        <v>32800056.1327131</v>
      </c>
      <c r="I8" s="55" t="n">
        <f aca="false">C26-IF(2&lt;='Control Panel &amp; Inputs'!$C$39,$F8,0)-MAX(0,C26-IF(2&lt;='Control Panel &amp; Inputs'!$C$41,'Control Panel &amp; Inputs'!$C$35/'Control Panel &amp; Inputs'!$C$41,0)-MIN(IF(2&lt;='Control Panel &amp; Inputs'!$C$39,-IPMT('Control Panel &amp; Inputs'!$C$38,2,'Control Panel &amp; Inputs'!$C$39,$D8),0),'Control Panel &amp; Inputs'!$C$43*C26))*'Control Panel &amp; Inputs'!$C$42</f>
        <v>41417560.8790691</v>
      </c>
      <c r="J8" s="55" t="n">
        <f aca="false">D26-IF(3&lt;='Control Panel &amp; Inputs'!$C$39,$F8,0)-MAX(0,D26-IF(3&lt;='Control Panel &amp; Inputs'!$C$41,'Control Panel &amp; Inputs'!$C$35/'Control Panel &amp; Inputs'!$C$41,0)-MIN(IF(3&lt;='Control Panel &amp; Inputs'!$C$39,-IPMT('Control Panel &amp; Inputs'!$C$38,3,'Control Panel &amp; Inputs'!$C$39,$D8),0),'Control Panel &amp; Inputs'!$C$43*D26))*'Control Panel &amp; Inputs'!$C$42</f>
        <v>42463319.5099624</v>
      </c>
      <c r="K8" s="55" t="n">
        <f aca="false">E26-IF(4&lt;='Control Panel &amp; Inputs'!$C$39,$F8,0)-MAX(0,E26-IF(4&lt;='Control Panel &amp; Inputs'!$C$41,'Control Panel &amp; Inputs'!$C$35/'Control Panel &amp; Inputs'!$C$41,0)-MIN(IF(4&lt;='Control Panel &amp; Inputs'!$C$39,-IPMT('Control Panel &amp; Inputs'!$C$38,4,'Control Panel &amp; Inputs'!$C$39,$D8),0),'Control Panel &amp; Inputs'!$C$43*E26))*'Control Panel &amp; Inputs'!$C$42</f>
        <v>43586159.6963311</v>
      </c>
      <c r="L8" s="55" t="n">
        <f aca="false">F26-IF(5&lt;='Control Panel &amp; Inputs'!$C$39,$F8,0)-MAX(0,F26-IF(5&lt;='Control Panel &amp; Inputs'!$C$41,'Control Panel &amp; Inputs'!$C$35/'Control Panel &amp; Inputs'!$C$41,0)-MIN(IF(5&lt;='Control Panel &amp; Inputs'!$C$39,-IPMT('Control Panel &amp; Inputs'!$C$38,5,'Control Panel &amp; Inputs'!$C$39,$D8),0),'Control Panel &amp; Inputs'!$C$43*F26))*'Control Panel &amp; Inputs'!$C$42+'Control Panel &amp; Inputs'!$C$35*'Control Panel &amp; Inputs'!$C$36</f>
        <v>58741219.1313091</v>
      </c>
      <c r="M8" s="56" t="n">
        <f aca="false">IRR(G8:L8)</f>
        <v>1.30679835036219</v>
      </c>
      <c r="N8" s="57" t="n">
        <f aca="false">AVERAGE(B26:F26)/$F8</f>
        <v>2.65765038726954</v>
      </c>
    </row>
    <row r="9" customFormat="false" ht="15" hidden="false" customHeight="false" outlineLevel="0" collapsed="false">
      <c r="A9" s="6" t="s">
        <v>354</v>
      </c>
      <c r="B9" s="53" t="n">
        <v>0.06</v>
      </c>
      <c r="C9" s="54" t="n">
        <v>0.5</v>
      </c>
      <c r="D9" s="55" t="n">
        <f aca="false">'Control Panel &amp; Inputs'!$C$35*$C9</f>
        <v>69750000</v>
      </c>
      <c r="E9" s="55" t="n">
        <f aca="false">'Control Panel &amp; Inputs'!$C$35-$D9</f>
        <v>69750000</v>
      </c>
      <c r="F9" s="55" t="n">
        <f aca="false">-PMT('Control Panel &amp; Inputs'!$C$38,'Control Panel &amp; Inputs'!$C$39,$D9)</f>
        <v>16784258.9974247</v>
      </c>
      <c r="G9" s="55" t="n">
        <f aca="false">-$E9</f>
        <v>-69750000</v>
      </c>
      <c r="H9" s="55" t="n">
        <f aca="false">B27-IF(1&lt;='Control Panel &amp; Inputs'!$C$39,$F9,0)-MAX(0,B27-IF(1&lt;='Control Panel &amp; Inputs'!$C$41,'Control Panel &amp; Inputs'!$C$35/'Control Panel &amp; Inputs'!$C$41,0)-MIN(IF(1&lt;='Control Panel &amp; Inputs'!$C$39,-IPMT('Control Panel &amp; Inputs'!$C$38,1,'Control Panel &amp; Inputs'!$C$39,$D9),0),'Control Panel &amp; Inputs'!$C$43*B27))*'Control Panel &amp; Inputs'!$C$42</f>
        <v>41422329.2954643</v>
      </c>
      <c r="I9" s="55" t="n">
        <f aca="false">C27-IF(2&lt;='Control Panel &amp; Inputs'!$C$39,$F9,0)-MAX(0,C27-IF(2&lt;='Control Panel &amp; Inputs'!$C$41,'Control Panel &amp; Inputs'!$C$35/'Control Panel &amp; Inputs'!$C$41,0)-MIN(IF(2&lt;='Control Panel &amp; Inputs'!$C$39,-IPMT('Control Panel &amp; Inputs'!$C$38,2,'Control Panel &amp; Inputs'!$C$39,$D9),0),'Control Panel &amp; Inputs'!$C$43*C27))*'Control Panel &amp; Inputs'!$C$42</f>
        <v>50058764.1336871</v>
      </c>
      <c r="J9" s="55" t="n">
        <f aca="false">D27-IF(3&lt;='Control Panel &amp; Inputs'!$C$39,$F9,0)-MAX(0,D27-IF(3&lt;='Control Panel &amp; Inputs'!$C$41,'Control Panel &amp; Inputs'!$C$35/'Control Panel &amp; Inputs'!$C$41,0)-MIN(IF(3&lt;='Control Panel &amp; Inputs'!$C$39,-IPMT('Control Panel &amp; Inputs'!$C$38,3,'Control Panel &amp; Inputs'!$C$39,$D9),0),'Control Panel &amp; Inputs'!$C$43*D27))*'Control Panel &amp; Inputs'!$C$42</f>
        <v>51125766.4261808</v>
      </c>
      <c r="K9" s="55" t="n">
        <f aca="false">E27-IF(4&lt;='Control Panel &amp; Inputs'!$C$39,$F9,0)-MAX(0,E27-IF(4&lt;='Control Panel &amp; Inputs'!$C$41,'Control Panel &amp; Inputs'!$C$35/'Control Panel &amp; Inputs'!$C$41,0)-MIN(IF(4&lt;='Control Panel &amp; Inputs'!$C$39,-IPMT('Control Panel &amp; Inputs'!$C$38,4,'Control Panel &amp; Inputs'!$C$39,$D9),0),'Control Panel &amp; Inputs'!$C$43*E27))*'Control Panel &amp; Inputs'!$C$42</f>
        <v>52272335.8881913</v>
      </c>
      <c r="L9" s="55" t="n">
        <f aca="false">F27-IF(5&lt;='Control Panel &amp; Inputs'!$C$39,$F9,0)-MAX(0,F27-IF(5&lt;='Control Panel &amp; Inputs'!$C$41,'Control Panel &amp; Inputs'!$C$35/'Control Panel &amp; Inputs'!$C$41,0)-MIN(IF(5&lt;='Control Panel &amp; Inputs'!$C$39,-IPMT('Control Panel &amp; Inputs'!$C$38,5,'Control Panel &amp; Inputs'!$C$39,$D9),0),'Control Panel &amp; Inputs'!$C$43*F27))*'Control Panel &amp; Inputs'!$C$42+'Control Panel &amp; Inputs'!$C$35*'Control Panel &amp; Inputs'!$C$36</f>
        <v>67453793.8732859</v>
      </c>
      <c r="M9" s="56" t="n">
        <f aca="false">IRR(G9:L9)</f>
        <v>0.625634391500291</v>
      </c>
      <c r="N9" s="57" t="n">
        <f aca="false">AVERAGE(B27:F27)/$F9</f>
        <v>4.17023216372819</v>
      </c>
    </row>
    <row r="10" customFormat="false" ht="15" hidden="false" customHeight="false" outlineLevel="0" collapsed="false">
      <c r="A10" s="6" t="s">
        <v>355</v>
      </c>
      <c r="B10" s="53" t="n">
        <v>0.06</v>
      </c>
      <c r="C10" s="54" t="n">
        <v>0.6</v>
      </c>
      <c r="D10" s="55" t="n">
        <f aca="false">'Control Panel &amp; Inputs'!$C$35*$C10</f>
        <v>83700000</v>
      </c>
      <c r="E10" s="55" t="n">
        <f aca="false">'Control Panel &amp; Inputs'!$C$35-$D10</f>
        <v>55800000</v>
      </c>
      <c r="F10" s="55" t="n">
        <f aca="false">-PMT('Control Panel &amp; Inputs'!$C$38,'Control Panel &amp; Inputs'!$C$39,$D10)</f>
        <v>20141110.7969096</v>
      </c>
      <c r="G10" s="55" t="n">
        <f aca="false">-$E10</f>
        <v>-55800000</v>
      </c>
      <c r="H10" s="55" t="n">
        <f aca="false">B28-IF(1&lt;='Control Panel &amp; Inputs'!$C$39,$F10,0)-MAX(0,B28-IF(1&lt;='Control Panel &amp; Inputs'!$C$41,'Control Panel &amp; Inputs'!$C$35/'Control Panel &amp; Inputs'!$C$41,0)-MIN(IF(1&lt;='Control Panel &amp; Inputs'!$C$39,-IPMT('Control Panel &amp; Inputs'!$C$38,1,'Control Panel &amp; Inputs'!$C$39,$D10),0),'Control Panel &amp; Inputs'!$C$43*B28))*'Control Panel &amp; Inputs'!$C$42</f>
        <v>38147084.9959793</v>
      </c>
      <c r="I10" s="55" t="n">
        <f aca="false">C28-IF(2&lt;='Control Panel &amp; Inputs'!$C$39,$F10,0)-MAX(0,C28-IF(2&lt;='Control Panel &amp; Inputs'!$C$41,'Control Panel &amp; Inputs'!$C$35/'Control Panel &amp; Inputs'!$C$41,0)-MIN(IF(2&lt;='Control Panel &amp; Inputs'!$C$39,-IPMT('Control Panel &amp; Inputs'!$C$38,2,'Control Panel &amp; Inputs'!$C$39,$D10),0),'Control Panel &amp; Inputs'!$C$43*C28))*'Control Panel &amp; Inputs'!$C$42</f>
        <v>46769186.7386752</v>
      </c>
      <c r="J10" s="55" t="n">
        <f aca="false">D28-IF(3&lt;='Control Panel &amp; Inputs'!$C$39,$F10,0)-MAX(0,D28-IF(3&lt;='Control Panel &amp; Inputs'!$C$41,'Control Panel &amp; Inputs'!$C$35/'Control Panel &amp; Inputs'!$C$41,0)-MIN(IF(3&lt;='Control Panel &amp; Inputs'!$C$39,-IPMT('Control Panel &amp; Inputs'!$C$38,3,'Control Panel &amp; Inputs'!$C$39,$D10),0),'Control Panel &amp; Inputs'!$C$43*D28))*'Control Panel &amp; Inputs'!$C$42</f>
        <v>47820924.2844327</v>
      </c>
      <c r="K10" s="55" t="n">
        <f aca="false">E28-IF(4&lt;='Control Panel &amp; Inputs'!$C$39,$F10,0)-MAX(0,E28-IF(4&lt;='Control Panel &amp; Inputs'!$C$41,'Control Panel &amp; Inputs'!$C$35/'Control Panel &amp; Inputs'!$C$41,0)-MIN(IF(4&lt;='Control Panel &amp; Inputs'!$C$39,-IPMT('Control Panel &amp; Inputs'!$C$38,4,'Control Panel &amp; Inputs'!$C$39,$D10),0),'Control Panel &amp; Inputs'!$C$43*E28))*'Control Panel &amp; Inputs'!$C$42</f>
        <v>48951236.791169</v>
      </c>
      <c r="L10" s="55" t="n">
        <f aca="false">F28-IF(5&lt;='Control Panel &amp; Inputs'!$C$39,$F10,0)-MAX(0,F28-IF(5&lt;='Control Panel &amp; Inputs'!$C$41,'Control Panel &amp; Inputs'!$C$35/'Control Panel &amp; Inputs'!$C$41,0)-MIN(IF(5&lt;='Control Panel &amp; Inputs'!$C$39,-IPMT('Control Panel &amp; Inputs'!$C$38,5,'Control Panel &amp; Inputs'!$C$39,$D10),0),'Control Panel &amp; Inputs'!$C$43*F28))*'Control Panel &amp; Inputs'!$C$42+'Control Panel &amp; Inputs'!$C$35*'Control Panel &amp; Inputs'!$C$36</f>
        <v>64115381.1188967</v>
      </c>
      <c r="M10" s="56" t="n">
        <f aca="false">IRR(G10:L10)</f>
        <v>0.740129255041265</v>
      </c>
      <c r="N10" s="57" t="n">
        <f aca="false">AVERAGE(B28:F28)/$F10</f>
        <v>3.47519346977349</v>
      </c>
    </row>
    <row r="11" customFormat="false" ht="15" hidden="false" customHeight="false" outlineLevel="0" collapsed="false">
      <c r="A11" s="6" t="s">
        <v>356</v>
      </c>
      <c r="B11" s="53" t="n">
        <v>0.06</v>
      </c>
      <c r="C11" s="54" t="n">
        <v>0.7</v>
      </c>
      <c r="D11" s="55" t="n">
        <f aca="false">'Control Panel &amp; Inputs'!$C$35*$C11</f>
        <v>97650000</v>
      </c>
      <c r="E11" s="55" t="n">
        <f aca="false">'Control Panel &amp; Inputs'!$C$35-$D11</f>
        <v>41850000</v>
      </c>
      <c r="F11" s="55" t="n">
        <f aca="false">-PMT('Control Panel &amp; Inputs'!$C$38,'Control Panel &amp; Inputs'!$C$39,$D11)</f>
        <v>23497962.5963946</v>
      </c>
      <c r="G11" s="55" t="n">
        <f aca="false">-$E11</f>
        <v>-41850000</v>
      </c>
      <c r="H11" s="55" t="n">
        <f aca="false">B29-IF(1&lt;='Control Panel &amp; Inputs'!$C$39,$F11,0)-MAX(0,B29-IF(1&lt;='Control Panel &amp; Inputs'!$C$41,'Control Panel &amp; Inputs'!$C$35/'Control Panel &amp; Inputs'!$C$41,0)-MIN(IF(1&lt;='Control Panel &amp; Inputs'!$C$39,-IPMT('Control Panel &amp; Inputs'!$C$38,1,'Control Panel &amp; Inputs'!$C$39,$D11),0),'Control Panel &amp; Inputs'!$C$43*B29))*'Control Panel &amp; Inputs'!$C$42</f>
        <v>34871840.6964944</v>
      </c>
      <c r="I11" s="55" t="n">
        <f aca="false">C29-IF(2&lt;='Control Panel &amp; Inputs'!$C$39,$F11,0)-MAX(0,C29-IF(2&lt;='Control Panel &amp; Inputs'!$C$41,'Control Panel &amp; Inputs'!$C$35/'Control Panel &amp; Inputs'!$C$41,0)-MIN(IF(2&lt;='Control Panel &amp; Inputs'!$C$39,-IPMT('Control Panel &amp; Inputs'!$C$38,2,'Control Panel &amp; Inputs'!$C$39,$D11),0),'Control Panel &amp; Inputs'!$C$43*C29))*'Control Panel &amp; Inputs'!$C$42</f>
        <v>43479609.3436633</v>
      </c>
      <c r="J11" s="55" t="n">
        <f aca="false">D29-IF(3&lt;='Control Panel &amp; Inputs'!$C$39,$F11,0)-MAX(0,D29-IF(3&lt;='Control Panel &amp; Inputs'!$C$41,'Control Panel &amp; Inputs'!$C$35/'Control Panel &amp; Inputs'!$C$41,0)-MIN(IF(3&lt;='Control Panel &amp; Inputs'!$C$39,-IPMT('Control Panel &amp; Inputs'!$C$38,3,'Control Panel &amp; Inputs'!$C$39,$D11),0),'Control Panel &amp; Inputs'!$C$43*D29))*'Control Panel &amp; Inputs'!$C$42</f>
        <v>44516082.1426845</v>
      </c>
      <c r="K11" s="55" t="n">
        <f aca="false">E29-IF(4&lt;='Control Panel &amp; Inputs'!$C$39,$F11,0)-MAX(0,E29-IF(4&lt;='Control Panel &amp; Inputs'!$C$41,'Control Panel &amp; Inputs'!$C$35/'Control Panel &amp; Inputs'!$C$41,0)-MIN(IF(4&lt;='Control Panel &amp; Inputs'!$C$39,-IPMT('Control Panel &amp; Inputs'!$C$38,4,'Control Panel &amp; Inputs'!$C$39,$D11),0),'Control Panel &amp; Inputs'!$C$43*E29))*'Control Panel &amp; Inputs'!$C$42</f>
        <v>45630137.6941468</v>
      </c>
      <c r="L11" s="55" t="n">
        <f aca="false">F29-IF(5&lt;='Control Panel &amp; Inputs'!$C$39,$F11,0)-MAX(0,F29-IF(5&lt;='Control Panel &amp; Inputs'!$C$41,'Control Panel &amp; Inputs'!$C$35/'Control Panel &amp; Inputs'!$C$41,0)-MIN(IF(5&lt;='Control Panel &amp; Inputs'!$C$39,-IPMT('Control Panel &amp; Inputs'!$C$38,5,'Control Panel &amp; Inputs'!$C$39,$D11),0),'Control Panel &amp; Inputs'!$C$43*F29))*'Control Panel &amp; Inputs'!$C$42+'Control Panel &amp; Inputs'!$C$35*'Control Panel &amp; Inputs'!$C$36</f>
        <v>60776968.3645076</v>
      </c>
      <c r="M11" s="56" t="n">
        <f aca="false">IRR(G11:L11)</f>
        <v>0.921875356077546</v>
      </c>
      <c r="N11" s="57" t="n">
        <f aca="false">AVERAGE(B29:F29)/$F11</f>
        <v>2.97873725980585</v>
      </c>
    </row>
    <row r="12" customFormat="false" ht="15" hidden="false" customHeight="false" outlineLevel="0" collapsed="false">
      <c r="A12" s="6" t="s">
        <v>357</v>
      </c>
      <c r="B12" s="53" t="n">
        <v>0.06</v>
      </c>
      <c r="C12" s="54" t="n">
        <v>0.8</v>
      </c>
      <c r="D12" s="55" t="n">
        <f aca="false">'Control Panel &amp; Inputs'!$C$35*$C12</f>
        <v>111600000</v>
      </c>
      <c r="E12" s="55" t="n">
        <f aca="false">'Control Panel &amp; Inputs'!$C$35-$D12</f>
        <v>27900000</v>
      </c>
      <c r="F12" s="55" t="n">
        <f aca="false">-PMT('Control Panel &amp; Inputs'!$C$38,'Control Panel &amp; Inputs'!$C$39,$D12)</f>
        <v>26854814.3958795</v>
      </c>
      <c r="G12" s="55" t="n">
        <f aca="false">-$E12</f>
        <v>-27900000</v>
      </c>
      <c r="H12" s="55" t="n">
        <f aca="false">B30-IF(1&lt;='Control Panel &amp; Inputs'!$C$39,$F12,0)-MAX(0,B30-IF(1&lt;='Control Panel &amp; Inputs'!$C$41,'Control Panel &amp; Inputs'!$C$35/'Control Panel &amp; Inputs'!$C$41,0)-MIN(IF(1&lt;='Control Panel &amp; Inputs'!$C$39,-IPMT('Control Panel &amp; Inputs'!$C$38,1,'Control Panel &amp; Inputs'!$C$39,$D12),0),'Control Panel &amp; Inputs'!$C$43*B30))*'Control Panel &amp; Inputs'!$C$42</f>
        <v>31596596.3970094</v>
      </c>
      <c r="I12" s="55" t="n">
        <f aca="false">C30-IF(2&lt;='Control Panel &amp; Inputs'!$C$39,$F12,0)-MAX(0,C30-IF(2&lt;='Control Panel &amp; Inputs'!$C$41,'Control Panel &amp; Inputs'!$C$35/'Control Panel &amp; Inputs'!$C$41,0)-MIN(IF(2&lt;='Control Panel &amp; Inputs'!$C$39,-IPMT('Control Panel &amp; Inputs'!$C$38,2,'Control Panel &amp; Inputs'!$C$39,$D12),0),'Control Panel &amp; Inputs'!$C$43*C30))*'Control Panel &amp; Inputs'!$C$42</f>
        <v>40190031.9486513</v>
      </c>
      <c r="J12" s="55" t="n">
        <f aca="false">D30-IF(3&lt;='Control Panel &amp; Inputs'!$C$39,$F12,0)-MAX(0,D30-IF(3&lt;='Control Panel &amp; Inputs'!$C$41,'Control Panel &amp; Inputs'!$C$35/'Control Panel &amp; Inputs'!$C$41,0)-MIN(IF(3&lt;='Control Panel &amp; Inputs'!$C$39,-IPMT('Control Panel &amp; Inputs'!$C$38,3,'Control Panel &amp; Inputs'!$C$39,$D12),0),'Control Panel &amp; Inputs'!$C$43*D30))*'Control Panel &amp; Inputs'!$C$42</f>
        <v>41211240.0009363</v>
      </c>
      <c r="K12" s="55" t="n">
        <f aca="false">E30-IF(4&lt;='Control Panel &amp; Inputs'!$C$39,$F12,0)-MAX(0,E30-IF(4&lt;='Control Panel &amp; Inputs'!$C$41,'Control Panel &amp; Inputs'!$C$35/'Control Panel &amp; Inputs'!$C$41,0)-MIN(IF(4&lt;='Control Panel &amp; Inputs'!$C$39,-IPMT('Control Panel &amp; Inputs'!$C$38,4,'Control Panel &amp; Inputs'!$C$39,$D12),0),'Control Panel &amp; Inputs'!$C$43*E30))*'Control Panel &amp; Inputs'!$C$42</f>
        <v>42309038.5971245</v>
      </c>
      <c r="L12" s="55" t="n">
        <f aca="false">F30-IF(5&lt;='Control Panel &amp; Inputs'!$C$39,$F12,0)-MAX(0,F30-IF(5&lt;='Control Panel &amp; Inputs'!$C$41,'Control Panel &amp; Inputs'!$C$35/'Control Panel &amp; Inputs'!$C$41,0)-MIN(IF(5&lt;='Control Panel &amp; Inputs'!$C$39,-IPMT('Control Panel &amp; Inputs'!$C$38,5,'Control Panel &amp; Inputs'!$C$39,$D12),0),'Control Panel &amp; Inputs'!$C$43*F30))*'Control Panel &amp; Inputs'!$C$42+'Control Panel &amp; Inputs'!$C$35*'Control Panel &amp; Inputs'!$C$36</f>
        <v>57438555.6101184</v>
      </c>
      <c r="M12" s="56" t="n">
        <f aca="false">IRR(G12:L12)</f>
        <v>1.26506825092475</v>
      </c>
      <c r="N12" s="57" t="n">
        <f aca="false">AVERAGE(B30:F30)/$F12</f>
        <v>2.60639510233012</v>
      </c>
    </row>
    <row r="13" customFormat="false" ht="15" hidden="false" customHeight="false" outlineLevel="0" collapsed="false">
      <c r="A13" s="6" t="s">
        <v>358</v>
      </c>
      <c r="B13" s="53" t="n">
        <v>0.08</v>
      </c>
      <c r="C13" s="54" t="n">
        <v>0.5</v>
      </c>
      <c r="D13" s="55" t="n">
        <f aca="false">'Control Panel &amp; Inputs'!$C$35*$C13</f>
        <v>69750000</v>
      </c>
      <c r="E13" s="55" t="n">
        <f aca="false">'Control Panel &amp; Inputs'!$C$35-$D13</f>
        <v>69750000</v>
      </c>
      <c r="F13" s="55" t="n">
        <f aca="false">-PMT('Control Panel &amp; Inputs'!$C$38,'Control Panel &amp; Inputs'!$C$39,$D13)</f>
        <v>16784258.9974247</v>
      </c>
      <c r="G13" s="55" t="n">
        <f aca="false">-$E13</f>
        <v>-69750000</v>
      </c>
      <c r="H13" s="55" t="n">
        <f aca="false">B31-IF(1&lt;='Control Panel &amp; Inputs'!$C$39,$F13,0)-MAX(0,B31-IF(1&lt;='Control Panel &amp; Inputs'!$C$41,'Control Panel &amp; Inputs'!$C$35/'Control Panel &amp; Inputs'!$C$41,0)-MIN(IF(1&lt;='Control Panel &amp; Inputs'!$C$39,-IPMT('Control Panel &amp; Inputs'!$C$38,1,'Control Panel &amp; Inputs'!$C$39,$D13),0),'Control Panel &amp; Inputs'!$C$43*B31))*'Control Panel &amp; Inputs'!$C$42</f>
        <v>40218869.5597606</v>
      </c>
      <c r="I13" s="55" t="n">
        <f aca="false">C31-IF(2&lt;='Control Panel &amp; Inputs'!$C$39,$F13,0)-MAX(0,C31-IF(2&lt;='Control Panel &amp; Inputs'!$C$41,'Control Panel &amp; Inputs'!$C$35/'Control Panel &amp; Inputs'!$C$41,0)-MIN(IF(2&lt;='Control Panel &amp; Inputs'!$C$39,-IPMT('Control Panel &amp; Inputs'!$C$38,2,'Control Panel &amp; Inputs'!$C$39,$D13),0),'Control Panel &amp; Inputs'!$C$43*C31))*'Control Panel &amp; Inputs'!$C$42</f>
        <v>48831235.2032694</v>
      </c>
      <c r="J13" s="55" t="n">
        <f aca="false">D31-IF(3&lt;='Control Panel &amp; Inputs'!$C$39,$F13,0)-MAX(0,D31-IF(3&lt;='Control Panel &amp; Inputs'!$C$41,'Control Panel &amp; Inputs'!$C$35/'Control Panel &amp; Inputs'!$C$41,0)-MIN(IF(3&lt;='Control Panel &amp; Inputs'!$C$39,-IPMT('Control Panel &amp; Inputs'!$C$38,3,'Control Panel &amp; Inputs'!$C$39,$D13),0),'Control Panel &amp; Inputs'!$C$43*D31))*'Control Panel &amp; Inputs'!$C$42</f>
        <v>49873686.9171547</v>
      </c>
      <c r="K13" s="55" t="n">
        <f aca="false">E31-IF(4&lt;='Control Panel &amp; Inputs'!$C$39,$F13,0)-MAX(0,E31-IF(4&lt;='Control Panel &amp; Inputs'!$C$41,'Control Panel &amp; Inputs'!$C$35/'Control Panel &amp; Inputs'!$C$41,0)-MIN(IF(4&lt;='Control Panel &amp; Inputs'!$C$39,-IPMT('Control Panel &amp; Inputs'!$C$38,4,'Control Panel &amp; Inputs'!$C$39,$D13),0),'Control Panel &amp; Inputs'!$C$43*E31))*'Control Panel &amp; Inputs'!$C$42</f>
        <v>50995214.7889847</v>
      </c>
      <c r="L13" s="55" t="n">
        <f aca="false">F31-IF(5&lt;='Control Panel &amp; Inputs'!$C$39,$F13,0)-MAX(0,F31-IF(5&lt;='Control Panel &amp; Inputs'!$C$41,'Control Panel &amp; Inputs'!$C$35/'Control Panel &amp; Inputs'!$C$41,0)-MIN(IF(5&lt;='Control Panel &amp; Inputs'!$C$39,-IPMT('Control Panel &amp; Inputs'!$C$38,5,'Control Panel &amp; Inputs'!$C$39,$D13),0),'Control Panel &amp; Inputs'!$C$43*F31))*'Control Panel &amp; Inputs'!$C$42+'Control Panel &amp; Inputs'!$C$35*'Control Panel &amp; Inputs'!$C$36</f>
        <v>66151130.3520951</v>
      </c>
      <c r="M13" s="56" t="n">
        <f aca="false">IRR(G13:L13)</f>
        <v>0.607230227403353</v>
      </c>
      <c r="N13" s="57" t="n">
        <f aca="false">AVERAGE(B31:F31)/$F13</f>
        <v>4.08822370782512</v>
      </c>
    </row>
    <row r="14" customFormat="false" ht="15" hidden="false" customHeight="false" outlineLevel="0" collapsed="false">
      <c r="A14" s="6" t="s">
        <v>359</v>
      </c>
      <c r="B14" s="53" t="n">
        <v>0.08</v>
      </c>
      <c r="C14" s="54" t="n">
        <v>0.6</v>
      </c>
      <c r="D14" s="55" t="n">
        <f aca="false">'Control Panel &amp; Inputs'!$C$35*$C14</f>
        <v>83700000</v>
      </c>
      <c r="E14" s="55" t="n">
        <f aca="false">'Control Panel &amp; Inputs'!$C$35-$D14</f>
        <v>55800000</v>
      </c>
      <c r="F14" s="55" t="n">
        <f aca="false">-PMT('Control Panel &amp; Inputs'!$C$38,'Control Panel &amp; Inputs'!$C$39,$D14)</f>
        <v>20141110.7969096</v>
      </c>
      <c r="G14" s="55" t="n">
        <f aca="false">-$E14</f>
        <v>-55800000</v>
      </c>
      <c r="H14" s="55" t="n">
        <f aca="false">B32-IF(1&lt;='Control Panel &amp; Inputs'!$C$39,$F14,0)-MAX(0,B32-IF(1&lt;='Control Panel &amp; Inputs'!$C$41,'Control Panel &amp; Inputs'!$C$35/'Control Panel &amp; Inputs'!$C$41,0)-MIN(IF(1&lt;='Control Panel &amp; Inputs'!$C$39,-IPMT('Control Panel &amp; Inputs'!$C$38,1,'Control Panel &amp; Inputs'!$C$39,$D14),0),'Control Panel &amp; Inputs'!$C$43*B32))*'Control Panel &amp; Inputs'!$C$42</f>
        <v>36943625.2602756</v>
      </c>
      <c r="I14" s="55" t="n">
        <f aca="false">C32-IF(2&lt;='Control Panel &amp; Inputs'!$C$39,$F14,0)-MAX(0,C32-IF(2&lt;='Control Panel &amp; Inputs'!$C$41,'Control Panel &amp; Inputs'!$C$35/'Control Panel &amp; Inputs'!$C$41,0)-MIN(IF(2&lt;='Control Panel &amp; Inputs'!$C$39,-IPMT('Control Panel &amp; Inputs'!$C$38,2,'Control Panel &amp; Inputs'!$C$39,$D14),0),'Control Panel &amp; Inputs'!$C$43*C32))*'Control Panel &amp; Inputs'!$C$42</f>
        <v>45541657.8082574</v>
      </c>
      <c r="J14" s="55" t="n">
        <f aca="false">D32-IF(3&lt;='Control Panel &amp; Inputs'!$C$39,$F14,0)-MAX(0,D32-IF(3&lt;='Control Panel &amp; Inputs'!$C$41,'Control Panel &amp; Inputs'!$C$35/'Control Panel &amp; Inputs'!$C$41,0)-MIN(IF(3&lt;='Control Panel &amp; Inputs'!$C$39,-IPMT('Control Panel &amp; Inputs'!$C$38,3,'Control Panel &amp; Inputs'!$C$39,$D14),0),'Control Panel &amp; Inputs'!$C$43*D32))*'Control Panel &amp; Inputs'!$C$42</f>
        <v>46568844.7754066</v>
      </c>
      <c r="K14" s="55" t="n">
        <f aca="false">E32-IF(4&lt;='Control Panel &amp; Inputs'!$C$39,$F14,0)-MAX(0,E32-IF(4&lt;='Control Panel &amp; Inputs'!$C$41,'Control Panel &amp; Inputs'!$C$35/'Control Panel &amp; Inputs'!$C$41,0)-MIN(IF(4&lt;='Control Panel &amp; Inputs'!$C$39,-IPMT('Control Panel &amp; Inputs'!$C$38,4,'Control Panel &amp; Inputs'!$C$39,$D14),0),'Control Panel &amp; Inputs'!$C$43*E32))*'Control Panel &amp; Inputs'!$C$42</f>
        <v>47674115.6919624</v>
      </c>
      <c r="L14" s="55" t="n">
        <f aca="false">F32-IF(5&lt;='Control Panel &amp; Inputs'!$C$39,$F14,0)-MAX(0,F32-IF(5&lt;='Control Panel &amp; Inputs'!$C$41,'Control Panel &amp; Inputs'!$C$35/'Control Panel &amp; Inputs'!$C$41,0)-MIN(IF(5&lt;='Control Panel &amp; Inputs'!$C$39,-IPMT('Control Panel &amp; Inputs'!$C$38,5,'Control Panel &amp; Inputs'!$C$39,$D14),0),'Control Panel &amp; Inputs'!$C$43*F32))*'Control Panel &amp; Inputs'!$C$42+'Control Panel &amp; Inputs'!$C$35*'Control Panel &amp; Inputs'!$C$36</f>
        <v>62812717.597706</v>
      </c>
      <c r="M14" s="56" t="n">
        <f aca="false">IRR(G14:L14)</f>
        <v>0.717819474593702</v>
      </c>
      <c r="N14" s="57" t="n">
        <f aca="false">AVERAGE(B32:F32)/$F14</f>
        <v>3.40685308985427</v>
      </c>
    </row>
    <row r="15" customFormat="false" ht="15" hidden="false" customHeight="false" outlineLevel="0" collapsed="false">
      <c r="A15" s="6" t="s">
        <v>360</v>
      </c>
      <c r="B15" s="53" t="n">
        <v>0.08</v>
      </c>
      <c r="C15" s="54" t="n">
        <v>0.7</v>
      </c>
      <c r="D15" s="55" t="n">
        <f aca="false">'Control Panel &amp; Inputs'!$C$35*$C15</f>
        <v>97650000</v>
      </c>
      <c r="E15" s="55" t="n">
        <f aca="false">'Control Panel &amp; Inputs'!$C$35-$D15</f>
        <v>41850000</v>
      </c>
      <c r="F15" s="55" t="n">
        <f aca="false">-PMT('Control Panel &amp; Inputs'!$C$38,'Control Panel &amp; Inputs'!$C$39,$D15)</f>
        <v>23497962.5963946</v>
      </c>
      <c r="G15" s="55" t="n">
        <f aca="false">-$E15</f>
        <v>-41850000</v>
      </c>
      <c r="H15" s="55" t="n">
        <f aca="false">B33-IF(1&lt;='Control Panel &amp; Inputs'!$C$39,$F15,0)-MAX(0,B33-IF(1&lt;='Control Panel &amp; Inputs'!$C$41,'Control Panel &amp; Inputs'!$C$35/'Control Panel &amp; Inputs'!$C$41,0)-MIN(IF(1&lt;='Control Panel &amp; Inputs'!$C$39,-IPMT('Control Panel &amp; Inputs'!$C$38,1,'Control Panel &amp; Inputs'!$C$39,$D15),0),'Control Panel &amp; Inputs'!$C$43*B33))*'Control Panel &amp; Inputs'!$C$42</f>
        <v>33668380.9607907</v>
      </c>
      <c r="I15" s="55" t="n">
        <f aca="false">C33-IF(2&lt;='Control Panel &amp; Inputs'!$C$39,$F15,0)-MAX(0,C33-IF(2&lt;='Control Panel &amp; Inputs'!$C$41,'Control Panel &amp; Inputs'!$C$35/'Control Panel &amp; Inputs'!$C$41,0)-MIN(IF(2&lt;='Control Panel &amp; Inputs'!$C$39,-IPMT('Control Panel &amp; Inputs'!$C$38,2,'Control Panel &amp; Inputs'!$C$39,$D15),0),'Control Panel &amp; Inputs'!$C$43*C33))*'Control Panel &amp; Inputs'!$C$42</f>
        <v>42252080.4132455</v>
      </c>
      <c r="J15" s="55" t="n">
        <f aca="false">D33-IF(3&lt;='Control Panel &amp; Inputs'!$C$39,$F15,0)-MAX(0,D33-IF(3&lt;='Control Panel &amp; Inputs'!$C$41,'Control Panel &amp; Inputs'!$C$35/'Control Panel &amp; Inputs'!$C$41,0)-MIN(IF(3&lt;='Control Panel &amp; Inputs'!$C$39,-IPMT('Control Panel &amp; Inputs'!$C$38,3,'Control Panel &amp; Inputs'!$C$39,$D15),0),'Control Panel &amp; Inputs'!$C$43*D33))*'Control Panel &amp; Inputs'!$C$42</f>
        <v>43264002.6336584</v>
      </c>
      <c r="K15" s="55" t="n">
        <f aca="false">E33-IF(4&lt;='Control Panel &amp; Inputs'!$C$39,$F15,0)-MAX(0,E33-IF(4&lt;='Control Panel &amp; Inputs'!$C$41,'Control Panel &amp; Inputs'!$C$35/'Control Panel &amp; Inputs'!$C$41,0)-MIN(IF(4&lt;='Control Panel &amp; Inputs'!$C$39,-IPMT('Control Panel &amp; Inputs'!$C$38,4,'Control Panel &amp; Inputs'!$C$39,$D15),0),'Control Panel &amp; Inputs'!$C$43*E33))*'Control Panel &amp; Inputs'!$C$42</f>
        <v>44353016.5949401</v>
      </c>
      <c r="L15" s="55" t="n">
        <f aca="false">F33-IF(5&lt;='Control Panel &amp; Inputs'!$C$39,$F15,0)-MAX(0,F33-IF(5&lt;='Control Panel &amp; Inputs'!$C$41,'Control Panel &amp; Inputs'!$C$35/'Control Panel &amp; Inputs'!$C$41,0)-MIN(IF(5&lt;='Control Panel &amp; Inputs'!$C$39,-IPMT('Control Panel &amp; Inputs'!$C$38,5,'Control Panel &amp; Inputs'!$C$39,$D15),0),'Control Panel &amp; Inputs'!$C$43*F33))*'Control Panel &amp; Inputs'!$C$42+'Control Panel &amp; Inputs'!$C$35*'Control Panel &amp; Inputs'!$C$36</f>
        <v>59474304.8433168</v>
      </c>
      <c r="M15" s="56" t="n">
        <f aca="false">IRR(G15:L15)</f>
        <v>0.893112538570458</v>
      </c>
      <c r="N15" s="57" t="n">
        <f aca="false">AVERAGE(B33:F33)/$F15</f>
        <v>2.92015979130366</v>
      </c>
    </row>
    <row r="16" customFormat="false" ht="15" hidden="false" customHeight="false" outlineLevel="0" collapsed="false">
      <c r="A16" s="6" t="s">
        <v>361</v>
      </c>
      <c r="B16" s="53" t="n">
        <v>0.08</v>
      </c>
      <c r="C16" s="54" t="n">
        <v>0.8</v>
      </c>
      <c r="D16" s="55" t="n">
        <f aca="false">'Control Panel &amp; Inputs'!$C$35*$C16</f>
        <v>111600000</v>
      </c>
      <c r="E16" s="55" t="n">
        <f aca="false">'Control Panel &amp; Inputs'!$C$35-$D16</f>
        <v>27900000</v>
      </c>
      <c r="F16" s="55" t="n">
        <f aca="false">-PMT('Control Panel &amp; Inputs'!$C$38,'Control Panel &amp; Inputs'!$C$39,$D16)</f>
        <v>26854814.3958795</v>
      </c>
      <c r="G16" s="55" t="n">
        <f aca="false">-$E16</f>
        <v>-27900000</v>
      </c>
      <c r="H16" s="55" t="n">
        <f aca="false">B34-IF(1&lt;='Control Panel &amp; Inputs'!$C$39,$F16,0)-MAX(0,B34-IF(1&lt;='Control Panel &amp; Inputs'!$C$41,'Control Panel &amp; Inputs'!$C$35/'Control Panel &amp; Inputs'!$C$41,0)-MIN(IF(1&lt;='Control Panel &amp; Inputs'!$C$39,-IPMT('Control Panel &amp; Inputs'!$C$38,1,'Control Panel &amp; Inputs'!$C$39,$D16),0),'Control Panel &amp; Inputs'!$C$43*B34))*'Control Panel &amp; Inputs'!$C$42</f>
        <v>30393136.6613058</v>
      </c>
      <c r="I16" s="55" t="n">
        <f aca="false">C34-IF(2&lt;='Control Panel &amp; Inputs'!$C$39,$F16,0)-MAX(0,C34-IF(2&lt;='Control Panel &amp; Inputs'!$C$41,'Control Panel &amp; Inputs'!$C$35/'Control Panel &amp; Inputs'!$C$41,0)-MIN(IF(2&lt;='Control Panel &amp; Inputs'!$C$39,-IPMT('Control Panel &amp; Inputs'!$C$38,2,'Control Panel &amp; Inputs'!$C$39,$D16),0),'Control Panel &amp; Inputs'!$C$43*C34))*'Control Panel &amp; Inputs'!$C$42</f>
        <v>38962503.0182336</v>
      </c>
      <c r="J16" s="55" t="n">
        <f aca="false">D34-IF(3&lt;='Control Panel &amp; Inputs'!$C$39,$F16,0)-MAX(0,D34-IF(3&lt;='Control Panel &amp; Inputs'!$C$41,'Control Panel &amp; Inputs'!$C$35/'Control Panel &amp; Inputs'!$C$41,0)-MIN(IF(3&lt;='Control Panel &amp; Inputs'!$C$39,-IPMT('Control Panel &amp; Inputs'!$C$38,3,'Control Panel &amp; Inputs'!$C$39,$D16),0),'Control Panel &amp; Inputs'!$C$43*D34))*'Control Panel &amp; Inputs'!$C$42</f>
        <v>39959160.4919102</v>
      </c>
      <c r="K16" s="55" t="n">
        <f aca="false">E34-IF(4&lt;='Control Panel &amp; Inputs'!$C$39,$F16,0)-MAX(0,E34-IF(4&lt;='Control Panel &amp; Inputs'!$C$41,'Control Panel &amp; Inputs'!$C$35/'Control Panel &amp; Inputs'!$C$41,0)-MIN(IF(4&lt;='Control Panel &amp; Inputs'!$C$39,-IPMT('Control Panel &amp; Inputs'!$C$38,4,'Control Panel &amp; Inputs'!$C$39,$D16),0),'Control Panel &amp; Inputs'!$C$43*E34))*'Control Panel &amp; Inputs'!$C$42</f>
        <v>41031917.4979179</v>
      </c>
      <c r="L16" s="55" t="n">
        <f aca="false">F34-IF(5&lt;='Control Panel &amp; Inputs'!$C$39,$F16,0)-MAX(0,F34-IF(5&lt;='Control Panel &amp; Inputs'!$C$41,'Control Panel &amp; Inputs'!$C$35/'Control Panel &amp; Inputs'!$C$41,0)-MIN(IF(5&lt;='Control Panel &amp; Inputs'!$C$39,-IPMT('Control Panel &amp; Inputs'!$C$38,5,'Control Panel &amp; Inputs'!$C$39,$D16),0),'Control Panel &amp; Inputs'!$C$43*F34))*'Control Panel &amp; Inputs'!$C$42+'Control Panel &amp; Inputs'!$C$35*'Control Panel &amp; Inputs'!$C$36</f>
        <v>56135892.0889276</v>
      </c>
      <c r="M16" s="56" t="n">
        <f aca="false">IRR(G16:L16)</f>
        <v>1.22335056745985</v>
      </c>
      <c r="N16" s="57" t="n">
        <f aca="false">AVERAGE(B34:F34)/$F16</f>
        <v>2.5551398173907</v>
      </c>
    </row>
    <row r="17" customFormat="false" ht="15" hidden="false" customHeight="false" outlineLevel="0" collapsed="false">
      <c r="A17" s="6" t="s">
        <v>362</v>
      </c>
      <c r="B17" s="53" t="n">
        <v>0.1</v>
      </c>
      <c r="C17" s="54" t="n">
        <v>0.5</v>
      </c>
      <c r="D17" s="55" t="n">
        <f aca="false">'Control Panel &amp; Inputs'!$C$35*$C17</f>
        <v>69750000</v>
      </c>
      <c r="E17" s="55" t="n">
        <f aca="false">'Control Panel &amp; Inputs'!$C$35-$D17</f>
        <v>69750000</v>
      </c>
      <c r="F17" s="55" t="n">
        <f aca="false">-PMT('Control Panel &amp; Inputs'!$C$38,'Control Panel &amp; Inputs'!$C$39,$D17)</f>
        <v>16784258.9974247</v>
      </c>
      <c r="G17" s="55" t="n">
        <f aca="false">-$E17</f>
        <v>-69750000</v>
      </c>
      <c r="H17" s="55" t="n">
        <f aca="false">B35-IF(1&lt;='Control Panel &amp; Inputs'!$C$39,$F17,0)-MAX(0,B35-IF(1&lt;='Control Panel &amp; Inputs'!$C$41,'Control Panel &amp; Inputs'!$C$35/'Control Panel &amp; Inputs'!$C$41,0)-MIN(IF(1&lt;='Control Panel &amp; Inputs'!$C$39,-IPMT('Control Panel &amp; Inputs'!$C$38,1,'Control Panel &amp; Inputs'!$C$39,$D17),0),'Control Panel &amp; Inputs'!$C$43*B35))*'Control Panel &amp; Inputs'!$C$42</f>
        <v>39015409.8240569</v>
      </c>
      <c r="I17" s="55" t="n">
        <f aca="false">C35-IF(2&lt;='Control Panel &amp; Inputs'!$C$39,$F17,0)-MAX(0,C35-IF(2&lt;='Control Panel &amp; Inputs'!$C$41,'Control Panel &amp; Inputs'!$C$35/'Control Panel &amp; Inputs'!$C$41,0)-MIN(IF(2&lt;='Control Panel &amp; Inputs'!$C$39,-IPMT('Control Panel &amp; Inputs'!$C$38,2,'Control Panel &amp; Inputs'!$C$39,$D17),0),'Control Panel &amp; Inputs'!$C$43*C35))*'Control Panel &amp; Inputs'!$C$42</f>
        <v>47603706.2728516</v>
      </c>
      <c r="J17" s="55" t="n">
        <f aca="false">D35-IF(3&lt;='Control Panel &amp; Inputs'!$C$39,$F17,0)-MAX(0,D35-IF(3&lt;='Control Panel &amp; Inputs'!$C$41,'Control Panel &amp; Inputs'!$C$35/'Control Panel &amp; Inputs'!$C$41,0)-MIN(IF(3&lt;='Control Panel &amp; Inputs'!$C$39,-IPMT('Control Panel &amp; Inputs'!$C$38,3,'Control Panel &amp; Inputs'!$C$39,$D17),0),'Control Panel &amp; Inputs'!$C$43*D35))*'Control Panel &amp; Inputs'!$C$42</f>
        <v>48621607.4081286</v>
      </c>
      <c r="K17" s="55" t="n">
        <f aca="false">E35-IF(4&lt;='Control Panel &amp; Inputs'!$C$39,$F17,0)-MAX(0,E35-IF(4&lt;='Control Panel &amp; Inputs'!$C$41,'Control Panel &amp; Inputs'!$C$35/'Control Panel &amp; Inputs'!$C$41,0)-MIN(IF(4&lt;='Control Panel &amp; Inputs'!$C$39,-IPMT('Control Panel &amp; Inputs'!$C$38,4,'Control Panel &amp; Inputs'!$C$39,$D17),0),'Control Panel &amp; Inputs'!$C$43*E35))*'Control Panel &amp; Inputs'!$C$42</f>
        <v>49718093.689778</v>
      </c>
      <c r="L17" s="55" t="n">
        <f aca="false">F35-IF(5&lt;='Control Panel &amp; Inputs'!$C$39,$F17,0)-MAX(0,F35-IF(5&lt;='Control Panel &amp; Inputs'!$C$41,'Control Panel &amp; Inputs'!$C$35/'Control Panel &amp; Inputs'!$C$41,0)-MIN(IF(5&lt;='Control Panel &amp; Inputs'!$C$39,-IPMT('Control Panel &amp; Inputs'!$C$38,5,'Control Panel &amp; Inputs'!$C$39,$D17),0),'Control Panel &amp; Inputs'!$C$43*F35))*'Control Panel &amp; Inputs'!$C$42+'Control Panel &amp; Inputs'!$C$35*'Control Panel &amp; Inputs'!$C$36</f>
        <v>64848466.8309044</v>
      </c>
      <c r="M17" s="56" t="n">
        <f aca="false">IRR(G17:L17)</f>
        <v>0.588762837234268</v>
      </c>
      <c r="N17" s="57" t="n">
        <f aca="false">AVERAGE(B35:F35)/$F17</f>
        <v>4.00621525192205</v>
      </c>
    </row>
    <row r="18" customFormat="false" ht="15" hidden="false" customHeight="false" outlineLevel="0" collapsed="false">
      <c r="A18" s="6" t="s">
        <v>363</v>
      </c>
      <c r="B18" s="53" t="n">
        <v>0.1</v>
      </c>
      <c r="C18" s="54" t="n">
        <v>0.6</v>
      </c>
      <c r="D18" s="55" t="n">
        <f aca="false">'Control Panel &amp; Inputs'!$C$35*$C18</f>
        <v>83700000</v>
      </c>
      <c r="E18" s="55" t="n">
        <f aca="false">'Control Panel &amp; Inputs'!$C$35-$D18</f>
        <v>55800000</v>
      </c>
      <c r="F18" s="55" t="n">
        <f aca="false">-PMT('Control Panel &amp; Inputs'!$C$38,'Control Panel &amp; Inputs'!$C$39,$D18)</f>
        <v>20141110.7969096</v>
      </c>
      <c r="G18" s="55" t="n">
        <f aca="false">-$E18</f>
        <v>-55800000</v>
      </c>
      <c r="H18" s="55" t="n">
        <f aca="false">B36-IF(1&lt;='Control Panel &amp; Inputs'!$C$39,$F18,0)-MAX(0,B36-IF(1&lt;='Control Panel &amp; Inputs'!$C$41,'Control Panel &amp; Inputs'!$C$35/'Control Panel &amp; Inputs'!$C$41,0)-MIN(IF(1&lt;='Control Panel &amp; Inputs'!$C$39,-IPMT('Control Panel &amp; Inputs'!$C$38,1,'Control Panel &amp; Inputs'!$C$39,$D18),0),'Control Panel &amp; Inputs'!$C$43*B36))*'Control Panel &amp; Inputs'!$C$42</f>
        <v>35740165.524572</v>
      </c>
      <c r="I18" s="55" t="n">
        <f aca="false">C36-IF(2&lt;='Control Panel &amp; Inputs'!$C$39,$F18,0)-MAX(0,C36-IF(2&lt;='Control Panel &amp; Inputs'!$C$41,'Control Panel &amp; Inputs'!$C$35/'Control Panel &amp; Inputs'!$C$41,0)-MIN(IF(2&lt;='Control Panel &amp; Inputs'!$C$39,-IPMT('Control Panel &amp; Inputs'!$C$38,2,'Control Panel &amp; Inputs'!$C$39,$D18),0),'Control Panel &amp; Inputs'!$C$43*C36))*'Control Panel &amp; Inputs'!$C$42</f>
        <v>44314128.8778397</v>
      </c>
      <c r="J18" s="55" t="n">
        <f aca="false">D36-IF(3&lt;='Control Panel &amp; Inputs'!$C$39,$F18,0)-MAX(0,D36-IF(3&lt;='Control Panel &amp; Inputs'!$C$41,'Control Panel &amp; Inputs'!$C$35/'Control Panel &amp; Inputs'!$C$41,0)-MIN(IF(3&lt;='Control Panel &amp; Inputs'!$C$39,-IPMT('Control Panel &amp; Inputs'!$C$38,3,'Control Panel &amp; Inputs'!$C$39,$D18),0),'Control Panel &amp; Inputs'!$C$43*D36))*'Control Panel &amp; Inputs'!$C$42</f>
        <v>45316765.2663805</v>
      </c>
      <c r="K18" s="55" t="n">
        <f aca="false">E36-IF(4&lt;='Control Panel &amp; Inputs'!$C$39,$F18,0)-MAX(0,E36-IF(4&lt;='Control Panel &amp; Inputs'!$C$41,'Control Panel &amp; Inputs'!$C$35/'Control Panel &amp; Inputs'!$C$41,0)-MIN(IF(4&lt;='Control Panel &amp; Inputs'!$C$39,-IPMT('Control Panel &amp; Inputs'!$C$38,4,'Control Panel &amp; Inputs'!$C$39,$D18),0),'Control Panel &amp; Inputs'!$C$43*E36))*'Control Panel &amp; Inputs'!$C$42</f>
        <v>46396994.5927558</v>
      </c>
      <c r="L18" s="55" t="n">
        <f aca="false">F36-IF(5&lt;='Control Panel &amp; Inputs'!$C$39,$F18,0)-MAX(0,F36-IF(5&lt;='Control Panel &amp; Inputs'!$C$41,'Control Panel &amp; Inputs'!$C$35/'Control Panel &amp; Inputs'!$C$41,0)-MIN(IF(5&lt;='Control Panel &amp; Inputs'!$C$39,-IPMT('Control Panel &amp; Inputs'!$C$38,5,'Control Panel &amp; Inputs'!$C$39,$D18),0),'Control Panel &amp; Inputs'!$C$43*F36))*'Control Panel &amp; Inputs'!$C$42+'Control Panel &amp; Inputs'!$C$35*'Control Panel &amp; Inputs'!$C$36</f>
        <v>61510054.0765152</v>
      </c>
      <c r="M18" s="56" t="n">
        <f aca="false">IRR(G18:L18)</f>
        <v>0.695449303949312</v>
      </c>
      <c r="N18" s="57" t="n">
        <f aca="false">AVERAGE(B36:F36)/$F18</f>
        <v>3.33851270993504</v>
      </c>
    </row>
    <row r="19" customFormat="false" ht="15" hidden="false" customHeight="false" outlineLevel="0" collapsed="false">
      <c r="A19" s="6" t="s">
        <v>364</v>
      </c>
      <c r="B19" s="53" t="n">
        <v>0.1</v>
      </c>
      <c r="C19" s="54" t="n">
        <v>0.7</v>
      </c>
      <c r="D19" s="55" t="n">
        <f aca="false">'Control Panel &amp; Inputs'!$C$35*$C19</f>
        <v>97650000</v>
      </c>
      <c r="E19" s="55" t="n">
        <f aca="false">'Control Panel &amp; Inputs'!$C$35-$D19</f>
        <v>41850000</v>
      </c>
      <c r="F19" s="55" t="n">
        <f aca="false">-PMT('Control Panel &amp; Inputs'!$C$38,'Control Panel &amp; Inputs'!$C$39,$D19)</f>
        <v>23497962.5963946</v>
      </c>
      <c r="G19" s="55" t="n">
        <f aca="false">-$E19</f>
        <v>-41850000</v>
      </c>
      <c r="H19" s="55" t="n">
        <f aca="false">B37-IF(1&lt;='Control Panel &amp; Inputs'!$C$39,$F19,0)-MAX(0,B37-IF(1&lt;='Control Panel &amp; Inputs'!$C$41,'Control Panel &amp; Inputs'!$C$35/'Control Panel &amp; Inputs'!$C$41,0)-MIN(IF(1&lt;='Control Panel &amp; Inputs'!$C$39,-IPMT('Control Panel &amp; Inputs'!$C$38,1,'Control Panel &amp; Inputs'!$C$39,$D19),0),'Control Panel &amp; Inputs'!$C$43*B37))*'Control Panel &amp; Inputs'!$C$42</f>
        <v>32464921.225087</v>
      </c>
      <c r="I19" s="55" t="n">
        <f aca="false">C37-IF(2&lt;='Control Panel &amp; Inputs'!$C$39,$F19,0)-MAX(0,C37-IF(2&lt;='Control Panel &amp; Inputs'!$C$41,'Control Panel &amp; Inputs'!$C$35/'Control Panel &amp; Inputs'!$C$41,0)-MIN(IF(2&lt;='Control Panel &amp; Inputs'!$C$39,-IPMT('Control Panel &amp; Inputs'!$C$38,2,'Control Panel &amp; Inputs'!$C$39,$D19),0),'Control Panel &amp; Inputs'!$C$43*C37))*'Control Panel &amp; Inputs'!$C$42</f>
        <v>41024551.4828278</v>
      </c>
      <c r="J19" s="55" t="n">
        <f aca="false">D37-IF(3&lt;='Control Panel &amp; Inputs'!$C$39,$F19,0)-MAX(0,D37-IF(3&lt;='Control Panel &amp; Inputs'!$C$41,'Control Panel &amp; Inputs'!$C$35/'Control Panel &amp; Inputs'!$C$41,0)-MIN(IF(3&lt;='Control Panel &amp; Inputs'!$C$39,-IPMT('Control Panel &amp; Inputs'!$C$38,3,'Control Panel &amp; Inputs'!$C$39,$D19),0),'Control Panel &amp; Inputs'!$C$43*D37))*'Control Panel &amp; Inputs'!$C$42</f>
        <v>42011923.1246323</v>
      </c>
      <c r="K19" s="55" t="n">
        <f aca="false">E37-IF(4&lt;='Control Panel &amp; Inputs'!$C$39,$F19,0)-MAX(0,E37-IF(4&lt;='Control Panel &amp; Inputs'!$C$41,'Control Panel &amp; Inputs'!$C$35/'Control Panel &amp; Inputs'!$C$41,0)-MIN(IF(4&lt;='Control Panel &amp; Inputs'!$C$39,-IPMT('Control Panel &amp; Inputs'!$C$38,4,'Control Panel &amp; Inputs'!$C$39,$D19),0),'Control Panel &amp; Inputs'!$C$43*E37))*'Control Panel &amp; Inputs'!$C$42</f>
        <v>43075895.4957335</v>
      </c>
      <c r="L19" s="55" t="n">
        <f aca="false">F37-IF(5&lt;='Control Panel &amp; Inputs'!$C$39,$F19,0)-MAX(0,F37-IF(5&lt;='Control Panel &amp; Inputs'!$C$41,'Control Panel &amp; Inputs'!$C$35/'Control Panel &amp; Inputs'!$C$41,0)-MIN(IF(5&lt;='Control Panel &amp; Inputs'!$C$39,-IPMT('Control Panel &amp; Inputs'!$C$38,5,'Control Panel &amp; Inputs'!$C$39,$D19),0),'Control Panel &amp; Inputs'!$C$43*F37))*'Control Panel &amp; Inputs'!$C$42+'Control Panel &amp; Inputs'!$C$35*'Control Panel &amp; Inputs'!$C$36</f>
        <v>58171641.322126</v>
      </c>
      <c r="M19" s="56" t="n">
        <f aca="false">IRR(G19:L19)</f>
        <v>0.864305027747797</v>
      </c>
      <c r="N19" s="57" t="n">
        <f aca="false">AVERAGE(B37:F37)/$F19</f>
        <v>2.86158232280146</v>
      </c>
    </row>
    <row r="20" customFormat="false" ht="15" hidden="false" customHeight="false" outlineLevel="0" collapsed="false">
      <c r="A20" s="6" t="s">
        <v>365</v>
      </c>
      <c r="B20" s="53" t="n">
        <v>0.1</v>
      </c>
      <c r="C20" s="54" t="n">
        <v>0.8</v>
      </c>
      <c r="D20" s="55" t="n">
        <f aca="false">'Control Panel &amp; Inputs'!$C$35*$C20</f>
        <v>111600000</v>
      </c>
      <c r="E20" s="55" t="n">
        <f aca="false">'Control Panel &amp; Inputs'!$C$35-$D20</f>
        <v>27900000</v>
      </c>
      <c r="F20" s="55" t="n">
        <f aca="false">-PMT('Control Panel &amp; Inputs'!$C$38,'Control Panel &amp; Inputs'!$C$39,$D20)</f>
        <v>26854814.3958795</v>
      </c>
      <c r="G20" s="55" t="n">
        <f aca="false">-$E20</f>
        <v>-27900000</v>
      </c>
      <c r="H20" s="55" t="n">
        <f aca="false">B38-IF(1&lt;='Control Panel &amp; Inputs'!$C$39,$F20,0)-MAX(0,B38-IF(1&lt;='Control Panel &amp; Inputs'!$C$41,'Control Panel &amp; Inputs'!$C$35/'Control Panel &amp; Inputs'!$C$41,0)-MIN(IF(1&lt;='Control Panel &amp; Inputs'!$C$39,-IPMT('Control Panel &amp; Inputs'!$C$38,1,'Control Panel &amp; Inputs'!$C$39,$D20),0),'Control Panel &amp; Inputs'!$C$43*B38))*'Control Panel &amp; Inputs'!$C$42</f>
        <v>29189676.9256021</v>
      </c>
      <c r="I20" s="55" t="n">
        <f aca="false">C38-IF(2&lt;='Control Panel &amp; Inputs'!$C$39,$F20,0)-MAX(0,C38-IF(2&lt;='Control Panel &amp; Inputs'!$C$41,'Control Panel &amp; Inputs'!$C$35/'Control Panel &amp; Inputs'!$C$41,0)-MIN(IF(2&lt;='Control Panel &amp; Inputs'!$C$39,-IPMT('Control Panel &amp; Inputs'!$C$38,2,'Control Panel &amp; Inputs'!$C$39,$D20),0),'Control Panel &amp; Inputs'!$C$43*C38))*'Control Panel &amp; Inputs'!$C$42</f>
        <v>37734974.0878158</v>
      </c>
      <c r="J20" s="55" t="n">
        <f aca="false">D38-IF(3&lt;='Control Panel &amp; Inputs'!$C$39,$F20,0)-MAX(0,D38-IF(3&lt;='Control Panel &amp; Inputs'!$C$41,'Control Panel &amp; Inputs'!$C$35/'Control Panel &amp; Inputs'!$C$41,0)-MIN(IF(3&lt;='Control Panel &amp; Inputs'!$C$39,-IPMT('Control Panel &amp; Inputs'!$C$38,3,'Control Panel &amp; Inputs'!$C$39,$D20),0),'Control Panel &amp; Inputs'!$C$43*D38))*'Control Panel &amp; Inputs'!$C$42</f>
        <v>38707080.9828841</v>
      </c>
      <c r="K20" s="55" t="n">
        <f aca="false">E38-IF(4&lt;='Control Panel &amp; Inputs'!$C$39,$F20,0)-MAX(0,E38-IF(4&lt;='Control Panel &amp; Inputs'!$C$41,'Control Panel &amp; Inputs'!$C$35/'Control Panel &amp; Inputs'!$C$41,0)-MIN(IF(4&lt;='Control Panel &amp; Inputs'!$C$39,-IPMT('Control Panel &amp; Inputs'!$C$38,4,'Control Panel &amp; Inputs'!$C$39,$D20),0),'Control Panel &amp; Inputs'!$C$43*E38))*'Control Panel &amp; Inputs'!$C$42</f>
        <v>39754796.3987112</v>
      </c>
      <c r="L20" s="55" t="n">
        <f aca="false">F38-IF(5&lt;='Control Panel &amp; Inputs'!$C$39,$F20,0)-MAX(0,F38-IF(5&lt;='Control Panel &amp; Inputs'!$C$41,'Control Panel &amp; Inputs'!$C$35/'Control Panel &amp; Inputs'!$C$41,0)-MIN(IF(5&lt;='Control Panel &amp; Inputs'!$C$39,-IPMT('Control Panel &amp; Inputs'!$C$38,5,'Control Panel &amp; Inputs'!$C$39,$D20),0),'Control Panel &amp; Inputs'!$C$43*F38))*'Control Panel &amp; Inputs'!$C$42+'Control Panel &amp; Inputs'!$C$35*'Control Panel &amp; Inputs'!$C$36</f>
        <v>54833228.5677368</v>
      </c>
      <c r="M20" s="56" t="n">
        <f aca="false">IRR(G20:L20)</f>
        <v>1.18164323060214</v>
      </c>
      <c r="N20" s="57" t="n">
        <f aca="false">AVERAGE(B38:F38)/$F20</f>
        <v>2.50388453245128</v>
      </c>
    </row>
    <row r="21" customFormat="false" ht="15" hidden="false" customHeight="false" outlineLevel="0" collapsed="false">
      <c r="A21" s="45" t="s">
        <v>366</v>
      </c>
    </row>
    <row r="22" customFormat="false" ht="15" hidden="false" customHeight="false" outlineLevel="0" collapsed="false">
      <c r="A22" s="3" t="s">
        <v>336</v>
      </c>
      <c r="B22" s="3" t="s">
        <v>367</v>
      </c>
      <c r="C22" s="3" t="s">
        <v>368</v>
      </c>
      <c r="D22" s="3" t="s">
        <v>369</v>
      </c>
      <c r="E22" s="3" t="s">
        <v>370</v>
      </c>
      <c r="F22" s="3" t="s">
        <v>371</v>
      </c>
    </row>
    <row r="23" customFormat="false" ht="15" hidden="false" customHeight="false" outlineLevel="0" collapsed="false">
      <c r="A23" s="58" t="str">
        <f aca="false">A5</f>
        <v>$0.04/kWh @ 50% debt</v>
      </c>
      <c r="B23" s="55" t="n">
        <f aca="false">'Pro Forma Financials'!C$8-'Pro Forma Financials'!C$12-'Pro Forma Financials'!C$10*$B5*POWER(1+'Control Panel &amp; Inputs'!$C$34,0)</f>
        <v>62078033.547904</v>
      </c>
      <c r="C23" s="55" t="n">
        <f aca="false">'Pro Forma Financials'!D$8-'Pro Forma Financials'!D$12-'Pro Forma Financials'!C$10*$B5*POWER(1+'Control Panel &amp; Inputs'!$C$34,1)</f>
        <v>71673824.2188621</v>
      </c>
      <c r="D23" s="55" t="n">
        <f aca="false">'Pro Forma Financials'!E$8-'Pro Forma Financials'!E$12-'Pro Forma Financials'!C$10*$B5*POWER(1+'Control Panel &amp; Inputs'!$C$34,2)</f>
        <v>72957205.1032393</v>
      </c>
      <c r="E23" s="55" t="n">
        <f aca="false">'Pro Forma Financials'!F$8-'Pro Forma Financials'!F$12-'Pro Forma Financials'!C$10*$B5*POWER(1+'Control Panel &amp; Inputs'!$C$34,3)</f>
        <v>74334013.7060541</v>
      </c>
      <c r="F23" s="55" t="n">
        <f aca="false">'Pro Forma Financials'!G$8-'Pro Forma Financials'!G$12-'Pro Forma Financials'!C$10*$B5*POWER(1+'Control Panel &amp; Inputs'!$C$34,4)</f>
        <v>75810462.8202446</v>
      </c>
    </row>
    <row r="24" customFormat="false" ht="15" hidden="false" customHeight="false" outlineLevel="0" collapsed="false">
      <c r="A24" s="58" t="str">
        <f aca="false">A6</f>
        <v>$0.04/kWh @ 60% debt</v>
      </c>
      <c r="B24" s="55" t="n">
        <f aca="false">'Pro Forma Financials'!C$8-'Pro Forma Financials'!C$12-'Pro Forma Financials'!C$10*$B6*POWER(1+'Control Panel &amp; Inputs'!$C$34,0)</f>
        <v>62078033.547904</v>
      </c>
      <c r="C24" s="55" t="n">
        <f aca="false">'Pro Forma Financials'!D$8-'Pro Forma Financials'!D$12-'Pro Forma Financials'!C$10*$B6*POWER(1+'Control Panel &amp; Inputs'!$C$34,1)</f>
        <v>71673824.2188621</v>
      </c>
      <c r="D24" s="55" t="n">
        <f aca="false">'Pro Forma Financials'!E$8-'Pro Forma Financials'!E$12-'Pro Forma Financials'!C$10*$B6*POWER(1+'Control Panel &amp; Inputs'!$C$34,2)</f>
        <v>72957205.1032393</v>
      </c>
      <c r="E24" s="55" t="n">
        <f aca="false">'Pro Forma Financials'!F$8-'Pro Forma Financials'!F$12-'Pro Forma Financials'!C$10*$B6*POWER(1+'Control Panel &amp; Inputs'!$C$34,3)</f>
        <v>74334013.7060541</v>
      </c>
      <c r="F24" s="55" t="n">
        <f aca="false">'Pro Forma Financials'!G$8-'Pro Forma Financials'!G$12-'Pro Forma Financials'!C$10*$B6*POWER(1+'Control Panel &amp; Inputs'!$C$34,4)</f>
        <v>75810462.8202446</v>
      </c>
    </row>
    <row r="25" customFormat="false" ht="15" hidden="false" customHeight="false" outlineLevel="0" collapsed="false">
      <c r="A25" s="58" t="str">
        <f aca="false">A7</f>
        <v>$0.04/kWh @ 70% debt</v>
      </c>
      <c r="B25" s="55" t="n">
        <f aca="false">'Pro Forma Financials'!C$8-'Pro Forma Financials'!C$12-'Pro Forma Financials'!C$10*$B7*POWER(1+'Control Panel &amp; Inputs'!$C$34,0)</f>
        <v>62078033.547904</v>
      </c>
      <c r="C25" s="55" t="n">
        <f aca="false">'Pro Forma Financials'!D$8-'Pro Forma Financials'!D$12-'Pro Forma Financials'!C$10*$B7*POWER(1+'Control Panel &amp; Inputs'!$C$34,1)</f>
        <v>71673824.2188621</v>
      </c>
      <c r="D25" s="55" t="n">
        <f aca="false">'Pro Forma Financials'!E$8-'Pro Forma Financials'!E$12-'Pro Forma Financials'!C$10*$B7*POWER(1+'Control Panel &amp; Inputs'!$C$34,2)</f>
        <v>72957205.1032393</v>
      </c>
      <c r="E25" s="55" t="n">
        <f aca="false">'Pro Forma Financials'!F$8-'Pro Forma Financials'!F$12-'Pro Forma Financials'!C$10*$B7*POWER(1+'Control Panel &amp; Inputs'!$C$34,3)</f>
        <v>74334013.7060541</v>
      </c>
      <c r="F25" s="55" t="n">
        <f aca="false">'Pro Forma Financials'!G$8-'Pro Forma Financials'!G$12-'Pro Forma Financials'!C$10*$B7*POWER(1+'Control Panel &amp; Inputs'!$C$34,4)</f>
        <v>75810462.8202446</v>
      </c>
    </row>
    <row r="26" customFormat="false" ht="15" hidden="false" customHeight="false" outlineLevel="0" collapsed="false">
      <c r="A26" s="58" t="str">
        <f aca="false">A8</f>
        <v>$0.04/kWh @ 80% debt</v>
      </c>
      <c r="B26" s="55" t="n">
        <f aca="false">'Pro Forma Financials'!C$8-'Pro Forma Financials'!C$12-'Pro Forma Financials'!C$10*$B8*POWER(1+'Control Panel &amp; Inputs'!$C$34,0)</f>
        <v>62078033.547904</v>
      </c>
      <c r="C26" s="55" t="n">
        <f aca="false">'Pro Forma Financials'!D$8-'Pro Forma Financials'!D$12-'Pro Forma Financials'!C$10*$B8*POWER(1+'Control Panel &amp; Inputs'!$C$34,1)</f>
        <v>71673824.2188621</v>
      </c>
      <c r="D26" s="55" t="n">
        <f aca="false">'Pro Forma Financials'!E$8-'Pro Forma Financials'!E$12-'Pro Forma Financials'!C$10*$B8*POWER(1+'Control Panel &amp; Inputs'!$C$34,2)</f>
        <v>72957205.1032393</v>
      </c>
      <c r="E26" s="55" t="n">
        <f aca="false">'Pro Forma Financials'!F$8-'Pro Forma Financials'!F$12-'Pro Forma Financials'!C$10*$B8*POWER(1+'Control Panel &amp; Inputs'!$C$34,3)</f>
        <v>74334013.7060541</v>
      </c>
      <c r="F26" s="55" t="n">
        <f aca="false">'Pro Forma Financials'!G$8-'Pro Forma Financials'!G$12-'Pro Forma Financials'!C$10*$B8*POWER(1+'Control Panel &amp; Inputs'!$C$34,4)</f>
        <v>75810462.8202446</v>
      </c>
    </row>
    <row r="27" customFormat="false" ht="15" hidden="false" customHeight="false" outlineLevel="0" collapsed="false">
      <c r="A27" s="58" t="str">
        <f aca="false">A9</f>
        <v>$0.06/kWh @ 50% debt</v>
      </c>
      <c r="B27" s="55" t="n">
        <f aca="false">'Pro Forma Financials'!C$8-'Pro Forma Financials'!C$12-'Pro Forma Financials'!C$10*$B9*POWER(1+'Control Panel &amp; Inputs'!$C$34,0)</f>
        <v>60755550.321856</v>
      </c>
      <c r="C27" s="55" t="n">
        <f aca="false">'Pro Forma Financials'!D$8-'Pro Forma Financials'!D$12-'Pro Forma Financials'!C$10*$B9*POWER(1+'Control Panel &amp; Inputs'!$C$34,1)</f>
        <v>70324891.3282931</v>
      </c>
      <c r="D27" s="55" t="n">
        <f aca="false">'Pro Forma Financials'!E$8-'Pro Forma Financials'!E$12-'Pro Forma Financials'!C$10*$B9*POWER(1+'Control Panel &amp; Inputs'!$C$34,2)</f>
        <v>71581293.554859</v>
      </c>
      <c r="E27" s="55" t="n">
        <f aca="false">'Pro Forma Financials'!F$8-'Pro Forma Financials'!F$12-'Pro Forma Financials'!C$10*$B9*POWER(1+'Control Panel &amp; Inputs'!$C$34,3)</f>
        <v>72930583.9267062</v>
      </c>
      <c r="F27" s="55" t="n">
        <f aca="false">'Pro Forma Financials'!G$8-'Pro Forma Financials'!G$12-'Pro Forma Financials'!C$10*$B9*POWER(1+'Control Panel &amp; Inputs'!$C$34,4)</f>
        <v>74378964.4453097</v>
      </c>
    </row>
    <row r="28" customFormat="false" ht="15" hidden="false" customHeight="false" outlineLevel="0" collapsed="false">
      <c r="A28" s="58" t="str">
        <f aca="false">A10</f>
        <v>$0.06/kWh @ 60% debt</v>
      </c>
      <c r="B28" s="55" t="n">
        <f aca="false">'Pro Forma Financials'!C$8-'Pro Forma Financials'!C$12-'Pro Forma Financials'!C$10*$B10*POWER(1+'Control Panel &amp; Inputs'!$C$34,0)</f>
        <v>60755550.321856</v>
      </c>
      <c r="C28" s="55" t="n">
        <f aca="false">'Pro Forma Financials'!D$8-'Pro Forma Financials'!D$12-'Pro Forma Financials'!C$10*$B10*POWER(1+'Control Panel &amp; Inputs'!$C$34,1)</f>
        <v>70324891.3282931</v>
      </c>
      <c r="D28" s="55" t="n">
        <f aca="false">'Pro Forma Financials'!E$8-'Pro Forma Financials'!E$12-'Pro Forma Financials'!C$10*$B10*POWER(1+'Control Panel &amp; Inputs'!$C$34,2)</f>
        <v>71581293.554859</v>
      </c>
      <c r="E28" s="55" t="n">
        <f aca="false">'Pro Forma Financials'!F$8-'Pro Forma Financials'!F$12-'Pro Forma Financials'!C$10*$B10*POWER(1+'Control Panel &amp; Inputs'!$C$34,3)</f>
        <v>72930583.9267062</v>
      </c>
      <c r="F28" s="55" t="n">
        <f aca="false">'Pro Forma Financials'!G$8-'Pro Forma Financials'!G$12-'Pro Forma Financials'!C$10*$B10*POWER(1+'Control Panel &amp; Inputs'!$C$34,4)</f>
        <v>74378964.4453097</v>
      </c>
    </row>
    <row r="29" customFormat="false" ht="15" hidden="false" customHeight="false" outlineLevel="0" collapsed="false">
      <c r="A29" s="58" t="str">
        <f aca="false">A11</f>
        <v>$0.06/kWh @ 70% debt</v>
      </c>
      <c r="B29" s="55" t="n">
        <f aca="false">'Pro Forma Financials'!C$8-'Pro Forma Financials'!C$12-'Pro Forma Financials'!C$10*$B11*POWER(1+'Control Panel &amp; Inputs'!$C$34,0)</f>
        <v>60755550.321856</v>
      </c>
      <c r="C29" s="55" t="n">
        <f aca="false">'Pro Forma Financials'!D$8-'Pro Forma Financials'!D$12-'Pro Forma Financials'!C$10*$B11*POWER(1+'Control Panel &amp; Inputs'!$C$34,1)</f>
        <v>70324891.3282931</v>
      </c>
      <c r="D29" s="55" t="n">
        <f aca="false">'Pro Forma Financials'!E$8-'Pro Forma Financials'!E$12-'Pro Forma Financials'!C$10*$B11*POWER(1+'Control Panel &amp; Inputs'!$C$34,2)</f>
        <v>71581293.554859</v>
      </c>
      <c r="E29" s="55" t="n">
        <f aca="false">'Pro Forma Financials'!F$8-'Pro Forma Financials'!F$12-'Pro Forma Financials'!C$10*$B11*POWER(1+'Control Panel &amp; Inputs'!$C$34,3)</f>
        <v>72930583.9267062</v>
      </c>
      <c r="F29" s="55" t="n">
        <f aca="false">'Pro Forma Financials'!G$8-'Pro Forma Financials'!G$12-'Pro Forma Financials'!C$10*$B11*POWER(1+'Control Panel &amp; Inputs'!$C$34,4)</f>
        <v>74378964.4453097</v>
      </c>
    </row>
    <row r="30" customFormat="false" ht="15" hidden="false" customHeight="false" outlineLevel="0" collapsed="false">
      <c r="A30" s="58" t="str">
        <f aca="false">A12</f>
        <v>$0.06/kWh @ 80% debt</v>
      </c>
      <c r="B30" s="55" t="n">
        <f aca="false">'Pro Forma Financials'!C$8-'Pro Forma Financials'!C$12-'Pro Forma Financials'!C$10*$B12*POWER(1+'Control Panel &amp; Inputs'!$C$34,0)</f>
        <v>60755550.321856</v>
      </c>
      <c r="C30" s="55" t="n">
        <f aca="false">'Pro Forma Financials'!D$8-'Pro Forma Financials'!D$12-'Pro Forma Financials'!C$10*$B12*POWER(1+'Control Panel &amp; Inputs'!$C$34,1)</f>
        <v>70324891.3282931</v>
      </c>
      <c r="D30" s="55" t="n">
        <f aca="false">'Pro Forma Financials'!E$8-'Pro Forma Financials'!E$12-'Pro Forma Financials'!C$10*$B12*POWER(1+'Control Panel &amp; Inputs'!$C$34,2)</f>
        <v>71581293.554859</v>
      </c>
      <c r="E30" s="55" t="n">
        <f aca="false">'Pro Forma Financials'!F$8-'Pro Forma Financials'!F$12-'Pro Forma Financials'!C$10*$B12*POWER(1+'Control Panel &amp; Inputs'!$C$34,3)</f>
        <v>72930583.9267062</v>
      </c>
      <c r="F30" s="55" t="n">
        <f aca="false">'Pro Forma Financials'!G$8-'Pro Forma Financials'!G$12-'Pro Forma Financials'!C$10*$B12*POWER(1+'Control Panel &amp; Inputs'!$C$34,4)</f>
        <v>74378964.4453097</v>
      </c>
    </row>
    <row r="31" customFormat="false" ht="15" hidden="false" customHeight="false" outlineLevel="0" collapsed="false">
      <c r="A31" s="58" t="str">
        <f aca="false">A13</f>
        <v>$0.08/kWh @ 50% debt</v>
      </c>
      <c r="B31" s="55" t="n">
        <f aca="false">'Pro Forma Financials'!C$8-'Pro Forma Financials'!C$12-'Pro Forma Financials'!C$10*$B13*POWER(1+'Control Panel &amp; Inputs'!$C$34,0)</f>
        <v>59433067.095808</v>
      </c>
      <c r="C31" s="55" t="n">
        <f aca="false">'Pro Forma Financials'!D$8-'Pro Forma Financials'!D$12-'Pro Forma Financials'!C$10*$B13*POWER(1+'Control Panel &amp; Inputs'!$C$34,1)</f>
        <v>68975958.4377242</v>
      </c>
      <c r="D31" s="55" t="n">
        <f aca="false">'Pro Forma Financials'!E$8-'Pro Forma Financials'!E$12-'Pro Forma Financials'!C$10*$B13*POWER(1+'Control Panel &amp; Inputs'!$C$34,2)</f>
        <v>70205382.0064787</v>
      </c>
      <c r="E31" s="55" t="n">
        <f aca="false">'Pro Forma Financials'!F$8-'Pro Forma Financials'!F$12-'Pro Forma Financials'!C$10*$B13*POWER(1+'Control Panel &amp; Inputs'!$C$34,3)</f>
        <v>71527154.1473582</v>
      </c>
      <c r="F31" s="55" t="n">
        <f aca="false">'Pro Forma Financials'!G$8-'Pro Forma Financials'!G$12-'Pro Forma Financials'!C$10*$B13*POWER(1+'Control Panel &amp; Inputs'!$C$34,4)</f>
        <v>72947466.0703748</v>
      </c>
    </row>
    <row r="32" customFormat="false" ht="15" hidden="false" customHeight="false" outlineLevel="0" collapsed="false">
      <c r="A32" s="58" t="str">
        <f aca="false">A14</f>
        <v>$0.08/kWh @ 60% debt</v>
      </c>
      <c r="B32" s="55" t="n">
        <f aca="false">'Pro Forma Financials'!C$8-'Pro Forma Financials'!C$12-'Pro Forma Financials'!C$10*$B14*POWER(1+'Control Panel &amp; Inputs'!$C$34,0)</f>
        <v>59433067.095808</v>
      </c>
      <c r="C32" s="55" t="n">
        <f aca="false">'Pro Forma Financials'!D$8-'Pro Forma Financials'!D$12-'Pro Forma Financials'!C$10*$B14*POWER(1+'Control Panel &amp; Inputs'!$C$34,1)</f>
        <v>68975958.4377242</v>
      </c>
      <c r="D32" s="55" t="n">
        <f aca="false">'Pro Forma Financials'!E$8-'Pro Forma Financials'!E$12-'Pro Forma Financials'!C$10*$B14*POWER(1+'Control Panel &amp; Inputs'!$C$34,2)</f>
        <v>70205382.0064787</v>
      </c>
      <c r="E32" s="55" t="n">
        <f aca="false">'Pro Forma Financials'!F$8-'Pro Forma Financials'!F$12-'Pro Forma Financials'!C$10*$B14*POWER(1+'Control Panel &amp; Inputs'!$C$34,3)</f>
        <v>71527154.1473582</v>
      </c>
      <c r="F32" s="55" t="n">
        <f aca="false">'Pro Forma Financials'!G$8-'Pro Forma Financials'!G$12-'Pro Forma Financials'!C$10*$B14*POWER(1+'Control Panel &amp; Inputs'!$C$34,4)</f>
        <v>72947466.0703748</v>
      </c>
    </row>
    <row r="33" customFormat="false" ht="15" hidden="false" customHeight="false" outlineLevel="0" collapsed="false">
      <c r="A33" s="58" t="str">
        <f aca="false">A15</f>
        <v>$0.08/kWh @ 70% debt</v>
      </c>
      <c r="B33" s="55" t="n">
        <f aca="false">'Pro Forma Financials'!C$8-'Pro Forma Financials'!C$12-'Pro Forma Financials'!C$10*$B15*POWER(1+'Control Panel &amp; Inputs'!$C$34,0)</f>
        <v>59433067.095808</v>
      </c>
      <c r="C33" s="55" t="n">
        <f aca="false">'Pro Forma Financials'!D$8-'Pro Forma Financials'!D$12-'Pro Forma Financials'!C$10*$B15*POWER(1+'Control Panel &amp; Inputs'!$C$34,1)</f>
        <v>68975958.4377242</v>
      </c>
      <c r="D33" s="55" t="n">
        <f aca="false">'Pro Forma Financials'!E$8-'Pro Forma Financials'!E$12-'Pro Forma Financials'!C$10*$B15*POWER(1+'Control Panel &amp; Inputs'!$C$34,2)</f>
        <v>70205382.0064787</v>
      </c>
      <c r="E33" s="55" t="n">
        <f aca="false">'Pro Forma Financials'!F$8-'Pro Forma Financials'!F$12-'Pro Forma Financials'!C$10*$B15*POWER(1+'Control Panel &amp; Inputs'!$C$34,3)</f>
        <v>71527154.1473582</v>
      </c>
      <c r="F33" s="55" t="n">
        <f aca="false">'Pro Forma Financials'!G$8-'Pro Forma Financials'!G$12-'Pro Forma Financials'!C$10*$B15*POWER(1+'Control Panel &amp; Inputs'!$C$34,4)</f>
        <v>72947466.0703748</v>
      </c>
    </row>
    <row r="34" customFormat="false" ht="15" hidden="false" customHeight="false" outlineLevel="0" collapsed="false">
      <c r="A34" s="58" t="str">
        <f aca="false">A16</f>
        <v>$0.08/kWh @ 80% debt</v>
      </c>
      <c r="B34" s="55" t="n">
        <f aca="false">'Pro Forma Financials'!C$8-'Pro Forma Financials'!C$12-'Pro Forma Financials'!C$10*$B16*POWER(1+'Control Panel &amp; Inputs'!$C$34,0)</f>
        <v>59433067.095808</v>
      </c>
      <c r="C34" s="55" t="n">
        <f aca="false">'Pro Forma Financials'!D$8-'Pro Forma Financials'!D$12-'Pro Forma Financials'!C$10*$B16*POWER(1+'Control Panel &amp; Inputs'!$C$34,1)</f>
        <v>68975958.4377242</v>
      </c>
      <c r="D34" s="55" t="n">
        <f aca="false">'Pro Forma Financials'!E$8-'Pro Forma Financials'!E$12-'Pro Forma Financials'!C$10*$B16*POWER(1+'Control Panel &amp; Inputs'!$C$34,2)</f>
        <v>70205382.0064787</v>
      </c>
      <c r="E34" s="55" t="n">
        <f aca="false">'Pro Forma Financials'!F$8-'Pro Forma Financials'!F$12-'Pro Forma Financials'!C$10*$B16*POWER(1+'Control Panel &amp; Inputs'!$C$34,3)</f>
        <v>71527154.1473582</v>
      </c>
      <c r="F34" s="55" t="n">
        <f aca="false">'Pro Forma Financials'!G$8-'Pro Forma Financials'!G$12-'Pro Forma Financials'!C$10*$B16*POWER(1+'Control Panel &amp; Inputs'!$C$34,4)</f>
        <v>72947466.0703748</v>
      </c>
    </row>
    <row r="35" customFormat="false" ht="15" hidden="false" customHeight="false" outlineLevel="0" collapsed="false">
      <c r="A35" s="58" t="str">
        <f aca="false">A17</f>
        <v>$0.10/kWh @ 50% debt</v>
      </c>
      <c r="B35" s="55" t="n">
        <f aca="false">'Pro Forma Financials'!C$8-'Pro Forma Financials'!C$12-'Pro Forma Financials'!C$10*$B17*POWER(1+'Control Panel &amp; Inputs'!$C$34,0)</f>
        <v>58110583.86976</v>
      </c>
      <c r="C35" s="55" t="n">
        <f aca="false">'Pro Forma Financials'!D$8-'Pro Forma Financials'!D$12-'Pro Forma Financials'!C$10*$B17*POWER(1+'Control Panel &amp; Inputs'!$C$34,1)</f>
        <v>67627025.5471552</v>
      </c>
      <c r="D35" s="55" t="n">
        <f aca="false">'Pro Forma Financials'!E$8-'Pro Forma Financials'!E$12-'Pro Forma Financials'!C$10*$B17*POWER(1+'Control Panel &amp; Inputs'!$C$34,2)</f>
        <v>68829470.4580983</v>
      </c>
      <c r="E35" s="55" t="n">
        <f aca="false">'Pro Forma Financials'!F$8-'Pro Forma Financials'!F$12-'Pro Forma Financials'!C$10*$B17*POWER(1+'Control Panel &amp; Inputs'!$C$34,3)</f>
        <v>70123724.3680103</v>
      </c>
      <c r="F35" s="55" t="n">
        <f aca="false">'Pro Forma Financials'!G$8-'Pro Forma Financials'!G$12-'Pro Forma Financials'!C$10*$B17*POWER(1+'Control Panel &amp; Inputs'!$C$34,4)</f>
        <v>71515967.6954399</v>
      </c>
    </row>
    <row r="36" customFormat="false" ht="15" hidden="false" customHeight="false" outlineLevel="0" collapsed="false">
      <c r="A36" s="58" t="str">
        <f aca="false">A18</f>
        <v>$0.10/kWh @ 60% debt</v>
      </c>
      <c r="B36" s="55" t="n">
        <f aca="false">'Pro Forma Financials'!C$8-'Pro Forma Financials'!C$12-'Pro Forma Financials'!C$10*$B18*POWER(1+'Control Panel &amp; Inputs'!$C$34,0)</f>
        <v>58110583.86976</v>
      </c>
      <c r="C36" s="55" t="n">
        <f aca="false">'Pro Forma Financials'!D$8-'Pro Forma Financials'!D$12-'Pro Forma Financials'!C$10*$B18*POWER(1+'Control Panel &amp; Inputs'!$C$34,1)</f>
        <v>67627025.5471552</v>
      </c>
      <c r="D36" s="55" t="n">
        <f aca="false">'Pro Forma Financials'!E$8-'Pro Forma Financials'!E$12-'Pro Forma Financials'!C$10*$B18*POWER(1+'Control Panel &amp; Inputs'!$C$34,2)</f>
        <v>68829470.4580983</v>
      </c>
      <c r="E36" s="55" t="n">
        <f aca="false">'Pro Forma Financials'!F$8-'Pro Forma Financials'!F$12-'Pro Forma Financials'!C$10*$B18*POWER(1+'Control Panel &amp; Inputs'!$C$34,3)</f>
        <v>70123724.3680103</v>
      </c>
      <c r="F36" s="55" t="n">
        <f aca="false">'Pro Forma Financials'!G$8-'Pro Forma Financials'!G$12-'Pro Forma Financials'!C$10*$B18*POWER(1+'Control Panel &amp; Inputs'!$C$34,4)</f>
        <v>71515967.6954399</v>
      </c>
    </row>
    <row r="37" customFormat="false" ht="15" hidden="false" customHeight="false" outlineLevel="0" collapsed="false">
      <c r="A37" s="58" t="str">
        <f aca="false">A19</f>
        <v>$0.10/kWh @ 70% debt</v>
      </c>
      <c r="B37" s="55" t="n">
        <f aca="false">'Pro Forma Financials'!C$8-'Pro Forma Financials'!C$12-'Pro Forma Financials'!C$10*$B19*POWER(1+'Control Panel &amp; Inputs'!$C$34,0)</f>
        <v>58110583.86976</v>
      </c>
      <c r="C37" s="55" t="n">
        <f aca="false">'Pro Forma Financials'!D$8-'Pro Forma Financials'!D$12-'Pro Forma Financials'!C$10*$B19*POWER(1+'Control Panel &amp; Inputs'!$C$34,1)</f>
        <v>67627025.5471552</v>
      </c>
      <c r="D37" s="55" t="n">
        <f aca="false">'Pro Forma Financials'!E$8-'Pro Forma Financials'!E$12-'Pro Forma Financials'!C$10*$B19*POWER(1+'Control Panel &amp; Inputs'!$C$34,2)</f>
        <v>68829470.4580983</v>
      </c>
      <c r="E37" s="55" t="n">
        <f aca="false">'Pro Forma Financials'!F$8-'Pro Forma Financials'!F$12-'Pro Forma Financials'!C$10*$B19*POWER(1+'Control Panel &amp; Inputs'!$C$34,3)</f>
        <v>70123724.3680103</v>
      </c>
      <c r="F37" s="55" t="n">
        <f aca="false">'Pro Forma Financials'!G$8-'Pro Forma Financials'!G$12-'Pro Forma Financials'!C$10*$B19*POWER(1+'Control Panel &amp; Inputs'!$C$34,4)</f>
        <v>71515967.6954399</v>
      </c>
    </row>
    <row r="38" customFormat="false" ht="15" hidden="false" customHeight="false" outlineLevel="0" collapsed="false">
      <c r="A38" s="58" t="str">
        <f aca="false">A20</f>
        <v>$0.10/kWh @ 80% debt</v>
      </c>
      <c r="B38" s="55" t="n">
        <f aca="false">'Pro Forma Financials'!C$8-'Pro Forma Financials'!C$12-'Pro Forma Financials'!C$10*$B20*POWER(1+'Control Panel &amp; Inputs'!$C$34,0)</f>
        <v>58110583.86976</v>
      </c>
      <c r="C38" s="55" t="n">
        <f aca="false">'Pro Forma Financials'!D$8-'Pro Forma Financials'!D$12-'Pro Forma Financials'!C$10*$B20*POWER(1+'Control Panel &amp; Inputs'!$C$34,1)</f>
        <v>67627025.5471552</v>
      </c>
      <c r="D38" s="55" t="n">
        <f aca="false">'Pro Forma Financials'!E$8-'Pro Forma Financials'!E$12-'Pro Forma Financials'!C$10*$B20*POWER(1+'Control Panel &amp; Inputs'!$C$34,2)</f>
        <v>68829470.4580983</v>
      </c>
      <c r="E38" s="55" t="n">
        <f aca="false">'Pro Forma Financials'!F$8-'Pro Forma Financials'!F$12-'Pro Forma Financials'!C$10*$B20*POWER(1+'Control Panel &amp; Inputs'!$C$34,3)</f>
        <v>70123724.3680103</v>
      </c>
      <c r="F38" s="55" t="n">
        <f aca="false">'Pro Forma Financials'!G$8-'Pro Forma Financials'!G$12-'Pro Forma Financials'!C$10*$B20*POWER(1+'Control Panel &amp; Inputs'!$C$34,4)</f>
        <v>71515967.6954399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</row>
    <row r="4" customFormat="false" ht="15" hidden="false" customHeight="false" outlineLevel="0" collapsed="false">
      <c r="A4" s="45" t="s">
        <v>374</v>
      </c>
    </row>
    <row r="5" customFormat="false" ht="15" hidden="false" customHeight="false" outlineLevel="0" collapsed="false">
      <c r="A5" s="3" t="s">
        <v>375</v>
      </c>
      <c r="B5" s="3" t="s">
        <v>376</v>
      </c>
      <c r="C5" s="3" t="s">
        <v>377</v>
      </c>
      <c r="D5" s="3" t="s">
        <v>378</v>
      </c>
      <c r="E5" s="3" t="s">
        <v>379</v>
      </c>
    </row>
    <row r="6" customFormat="false" ht="15" hidden="false" customHeight="false" outlineLevel="0" collapsed="false">
      <c r="A6" s="6" t="s">
        <v>380</v>
      </c>
      <c r="B6" s="59" t="n">
        <f aca="false">'Sensitivity Engine'!M5</f>
        <v>0.643978746381705</v>
      </c>
      <c r="C6" s="59" t="n">
        <f aca="false">'Sensitivity Engine'!M6</f>
        <v>0.762382519931947</v>
      </c>
      <c r="D6" s="59" t="n">
        <f aca="false">'Sensitivity Engine'!M7</f>
        <v>0.950597457234898</v>
      </c>
      <c r="E6" s="59" t="n">
        <f aca="false">'Sensitivity Engine'!M8</f>
        <v>1.30679835036219</v>
      </c>
    </row>
    <row r="7" customFormat="false" ht="15" hidden="false" customHeight="false" outlineLevel="0" collapsed="false">
      <c r="A7" s="6" t="s">
        <v>381</v>
      </c>
      <c r="B7" s="59" t="n">
        <f aca="false">'Sensitivity Engine'!M9</f>
        <v>0.625634391500291</v>
      </c>
      <c r="C7" s="59" t="n">
        <f aca="false">'Sensitivity Engine'!M10</f>
        <v>0.740129255041265</v>
      </c>
      <c r="D7" s="59" t="n">
        <f aca="false">'Sensitivity Engine'!M11</f>
        <v>0.921875356077546</v>
      </c>
      <c r="E7" s="59" t="n">
        <f aca="false">'Sensitivity Engine'!M12</f>
        <v>1.26506825092475</v>
      </c>
    </row>
    <row r="8" customFormat="false" ht="15" hidden="false" customHeight="false" outlineLevel="0" collapsed="false">
      <c r="A8" s="6" t="s">
        <v>382</v>
      </c>
      <c r="B8" s="59" t="n">
        <f aca="false">'Sensitivity Engine'!M13</f>
        <v>0.607230227403353</v>
      </c>
      <c r="C8" s="59" t="n">
        <f aca="false">'Sensitivity Engine'!M14</f>
        <v>0.717819474593702</v>
      </c>
      <c r="D8" s="59" t="n">
        <f aca="false">'Sensitivity Engine'!M15</f>
        <v>0.893112538570458</v>
      </c>
      <c r="E8" s="59" t="n">
        <f aca="false">'Sensitivity Engine'!M16</f>
        <v>1.22335056745985</v>
      </c>
    </row>
    <row r="9" customFormat="false" ht="15" hidden="false" customHeight="false" outlineLevel="0" collapsed="false">
      <c r="A9" s="6" t="s">
        <v>383</v>
      </c>
      <c r="B9" s="59" t="n">
        <f aca="false">'Sensitivity Engine'!M17</f>
        <v>0.588762837234268</v>
      </c>
      <c r="C9" s="59" t="n">
        <f aca="false">'Sensitivity Engine'!M18</f>
        <v>0.695449303949312</v>
      </c>
      <c r="D9" s="59" t="n">
        <f aca="false">'Sensitivity Engine'!M19</f>
        <v>0.864305027747797</v>
      </c>
      <c r="E9" s="59" t="n">
        <f aca="false">'Sensitivity Engine'!M20</f>
        <v>1.18164323060214</v>
      </c>
    </row>
    <row r="12" customFormat="false" ht="15" hidden="false" customHeight="false" outlineLevel="0" collapsed="false">
      <c r="A12" s="45" t="s">
        <v>384</v>
      </c>
    </row>
    <row r="13" customFormat="false" ht="15" hidden="false" customHeight="false" outlineLevel="0" collapsed="false">
      <c r="A13" s="3" t="s">
        <v>375</v>
      </c>
      <c r="B13" s="3" t="s">
        <v>376</v>
      </c>
      <c r="C13" s="3" t="s">
        <v>377</v>
      </c>
      <c r="D13" s="3" t="s">
        <v>378</v>
      </c>
      <c r="E13" s="3" t="s">
        <v>379</v>
      </c>
    </row>
    <row r="14" customFormat="false" ht="15" hidden="false" customHeight="false" outlineLevel="0" collapsed="false">
      <c r="A14" s="6" t="s">
        <v>380</v>
      </c>
      <c r="B14" s="60" t="n">
        <f aca="false">'Sensitivity Engine'!N5</f>
        <v>4.25224061963126</v>
      </c>
      <c r="C14" s="60" t="n">
        <f aca="false">'Sensitivity Engine'!N6</f>
        <v>3.54353384969272</v>
      </c>
      <c r="D14" s="60" t="n">
        <f aca="false">'Sensitivity Engine'!N7</f>
        <v>3.03731472830805</v>
      </c>
      <c r="E14" s="60" t="n">
        <f aca="false">'Sensitivity Engine'!N8</f>
        <v>2.65765038726954</v>
      </c>
    </row>
    <row r="15" customFormat="false" ht="15" hidden="false" customHeight="false" outlineLevel="0" collapsed="false">
      <c r="A15" s="6" t="s">
        <v>381</v>
      </c>
      <c r="B15" s="60" t="n">
        <f aca="false">'Sensitivity Engine'!N9</f>
        <v>4.17023216372819</v>
      </c>
      <c r="C15" s="60" t="n">
        <f aca="false">'Sensitivity Engine'!N10</f>
        <v>3.47519346977349</v>
      </c>
      <c r="D15" s="60" t="n">
        <f aca="false">'Sensitivity Engine'!N11</f>
        <v>2.97873725980585</v>
      </c>
      <c r="E15" s="60" t="n">
        <f aca="false">'Sensitivity Engine'!N12</f>
        <v>2.60639510233012</v>
      </c>
    </row>
    <row r="16" customFormat="false" ht="15" hidden="false" customHeight="false" outlineLevel="0" collapsed="false">
      <c r="A16" s="6" t="s">
        <v>382</v>
      </c>
      <c r="B16" s="60" t="n">
        <f aca="false">'Sensitivity Engine'!N13</f>
        <v>4.08822370782512</v>
      </c>
      <c r="C16" s="60" t="n">
        <f aca="false">'Sensitivity Engine'!N14</f>
        <v>3.40685308985427</v>
      </c>
      <c r="D16" s="60" t="n">
        <f aca="false">'Sensitivity Engine'!N15</f>
        <v>2.92015979130366</v>
      </c>
      <c r="E16" s="60" t="n">
        <f aca="false">'Sensitivity Engine'!N16</f>
        <v>2.5551398173907</v>
      </c>
    </row>
    <row r="17" customFormat="false" ht="15" hidden="false" customHeight="false" outlineLevel="0" collapsed="false">
      <c r="A17" s="6" t="s">
        <v>383</v>
      </c>
      <c r="B17" s="60" t="n">
        <f aca="false">'Sensitivity Engine'!N17</f>
        <v>4.00621525192205</v>
      </c>
      <c r="C17" s="60" t="n">
        <f aca="false">'Sensitivity Engine'!N18</f>
        <v>3.33851270993504</v>
      </c>
      <c r="D17" s="60" t="n">
        <f aca="false">'Sensitivity Engine'!N19</f>
        <v>2.86158232280146</v>
      </c>
      <c r="E17" s="60" t="n">
        <f aca="false">'Sensitivity Engine'!N20</f>
        <v>2.50388453245128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2026-07-24T11:38:33Z</dcterms:created>
  <dc:creator>openpyxl</dc:creator>
  <dc:description/>
  <dc:language>en-US</dc:language>
  <cp:lastModifiedBy/>
  <dcterms:modified xsi:type="dcterms:W3CDTF">2026-07-24T11:38:33Z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