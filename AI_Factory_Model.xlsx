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Control Panel &amp; Inputs" sheetId="2" state="visible" r:id="rId4"/>
    <sheet name="Rack Type Library" sheetId="3" state="visible" r:id="rId5"/>
    <sheet name="ASHRAE Climate Library" sheetId="4" state="visible" r:id="rId6"/>
    <sheet name="Thermal Hydraulics &amp; MLC" sheetId="5" state="visible" r:id="rId7"/>
    <sheet name="Pro Forma Financials" sheetId="6" state="visible" r:id="rId8"/>
    <sheet name="Unit Economics &amp; KPIs" sheetId="7" state="visible" r:id="rId9"/>
    <sheet name="Sensitivity Engine" sheetId="8" state="visible" r:id="rId10"/>
    <sheet name="Sensitivity Matrices" sheetId="9" state="visible" r:id="rId11"/>
    <sheet name="Phased Expansion" sheetId="10" state="visible" r:id="rId12"/>
  </sheets>
  <definedNames>
    <definedName function="false" hidden="false" name="LocationList" vbProcedure="false">'ASHRAE Climate Library'!$A$5:$A$19</definedName>
    <definedName function="false" hidden="false" name="RackTypesCompute" vbProcedure="false">'Rack Type Library'!$A$5:$A$9</definedName>
    <definedName function="false" hidden="false" name="RackTypesNetwork" vbProcedure="false">'Rack Type Library'!$A$10:$A$11</definedName>
    <definedName function="false" hidden="false" name="RackTypesStorage" vbProcedure="false">'Rack Type Library'!$A$12:$A$13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<sst xmlns="http://schemas.openxmlformats.org/spreadsheetml/2006/main" count="666" uniqueCount="443">
  <si>
    <t xml:space="preserve">All values live-linked; edit assumptions on 'Control Panel &amp; Inputs' and everything on this page recalculates</t>
  </si>
  <si>
    <t xml:space="preserve">KPI</t>
  </si>
  <si>
    <t xml:space="preserve">Value</t>
  </si>
  <si>
    <t xml:space="preserve">Unit</t>
  </si>
  <si>
    <t xml:space="preserve">Source</t>
  </si>
  <si>
    <t xml:space="preserve">RETURNS &amp; FINANCING</t>
  </si>
  <si>
    <t xml:space="preserve">Equity IRR (levered)</t>
  </si>
  <si>
    <t xml:space="preserve">%</t>
  </si>
  <si>
    <t xml:space="preserve">Pro Forma Financials</t>
  </si>
  <si>
    <t xml:space="preserve">Project IRR (unlevered)</t>
  </si>
  <si>
    <t xml:space="preserve">Equity NPV @ hurdle rate</t>
  </si>
  <si>
    <t xml:space="preserve">USD</t>
  </si>
  <si>
    <t xml:space="preserve">MOIC</t>
  </si>
  <si>
    <t xml:space="preserve">x</t>
  </si>
  <si>
    <t xml:space="preserve">Payback Period</t>
  </si>
  <si>
    <t xml:space="preserve">years</t>
  </si>
  <si>
    <t xml:space="preserve">Minimum DSCR</t>
  </si>
  <si>
    <t xml:space="preserve">OPERATIONS &amp; COMPLIANCE</t>
  </si>
  <si>
    <t xml:space="preserve">Year 1 Gross Revenue</t>
  </si>
  <si>
    <t xml:space="preserve">Year 1 EBITDA</t>
  </si>
  <si>
    <t xml:space="preserve">Year 1 EBITDA Margin</t>
  </si>
  <si>
    <t xml:space="preserve">Peak MLC vs ASHRAE 90.4</t>
  </si>
  <si>
    <t xml:space="preserve">(design max below)</t>
  </si>
  <si>
    <t xml:space="preserve">Thermal Hydraulics &amp; MLC</t>
  </si>
  <si>
    <t xml:space="preserve">ASHRAE 90.4 MLC Limit (location)</t>
  </si>
  <si>
    <t xml:space="preserve">(design max)</t>
  </si>
  <si>
    <t xml:space="preserve">Control Panel &amp; Inputs</t>
  </si>
  <si>
    <t xml:space="preserve">MLC Compliance Margin</t>
  </si>
  <si>
    <t xml:space="preserve">Location / ASHRAE 169 Zone</t>
  </si>
  <si>
    <t xml:space="preserve">SUSTAINABILITY</t>
  </si>
  <si>
    <t xml:space="preserve">Annual Facility Energy</t>
  </si>
  <si>
    <t xml:space="preserve">MWh/yr</t>
  </si>
  <si>
    <t xml:space="preserve">Annual Carbon Emissions</t>
  </si>
  <si>
    <t xml:space="preserve">tCO2/yr</t>
  </si>
  <si>
    <t xml:space="preserve">Annual Water Consumption</t>
  </si>
  <si>
    <t xml:space="preserve">m³/yr</t>
  </si>
  <si>
    <t xml:space="preserve">UNIT ECONOMICS</t>
  </si>
  <si>
    <t xml:space="preserve">Total GPU Count</t>
  </si>
  <si>
    <t xml:space="preserve">GPUs</t>
  </si>
  <si>
    <t xml:space="preserve">Unit Economics &amp; KPIs</t>
  </si>
  <si>
    <t xml:space="preserve">CapEx per GPU</t>
  </si>
  <si>
    <t xml:space="preserve">$/GPU</t>
  </si>
  <si>
    <t xml:space="preserve">Blended Revenue per Sold GPU-hour</t>
  </si>
  <si>
    <t xml:space="preserve">$/GPU-hr</t>
  </si>
  <si>
    <t xml:space="preserve">Cash Cost per M Tokens</t>
  </si>
  <si>
    <t xml:space="preserve">$/M tok</t>
  </si>
  <si>
    <t xml:space="preserve">Energy Cost as % of Revenue</t>
  </si>
  <si>
    <t xml:space="preserve">Breakeven Power Tariff</t>
  </si>
  <si>
    <t xml:space="preserve">$/kWh</t>
  </si>
  <si>
    <t xml:space="preserve">CAMPUS EXPANSION</t>
  </si>
  <si>
    <t xml:space="preserve">Final Campus IT Capacity</t>
  </si>
  <si>
    <t xml:space="preserve">MW</t>
  </si>
  <si>
    <t xml:space="preserve">Phased Expansion</t>
  </si>
  <si>
    <t xml:space="preserve">Final Campus GPUs</t>
  </si>
  <si>
    <t xml:space="preserve">Total Campus CapEx</t>
  </si>
  <si>
    <t xml:space="preserve">Peak Funding Requirement</t>
  </si>
  <si>
    <t xml:space="preserve">Run-Rate Campus EBITDA</t>
  </si>
  <si>
    <t xml:space="preserve">USD/yr</t>
  </si>
  <si>
    <t xml:space="preserve">Master Control Panel — edit only the yellow Value cells; every other sheet recalculates from them</t>
  </si>
  <si>
    <t xml:space="preserve">Category</t>
  </si>
  <si>
    <t xml:space="preserve">Parameter</t>
  </si>
  <si>
    <t xml:space="preserve">Notes / Constraints</t>
  </si>
  <si>
    <t xml:space="preserve">Geographic &amp; Climate</t>
  </si>
  <si>
    <t xml:space="preserve">Geo_Location</t>
  </si>
  <si>
    <t xml:space="preserve">Abu Dhabi, UAE</t>
  </si>
  <si>
    <t xml:space="preserve">Menu choice — drives ASHRAE zone, 90.4 MLC limit and N=20yr peaks</t>
  </si>
  <si>
    <t xml:space="preserve">ASHRAE_Climate_Zone</t>
  </si>
  <si>
    <t xml:space="preserve">Derived from location — ASHRAE 169 climate zone</t>
  </si>
  <si>
    <t xml:space="preserve">ASHRAE_MLC_Limit</t>
  </si>
  <si>
    <t xml:space="preserve">Derived from location — ASHRAE 90.4 max design MLC</t>
  </si>
  <si>
    <t xml:space="preserve">Peak_Ambient_DryBulb</t>
  </si>
  <si>
    <t xml:space="preserve">°C</t>
  </si>
  <si>
    <t xml:space="preserve">Derived from location — ASHRAE N=20yr extreme peak dry-bulb</t>
  </si>
  <si>
    <t xml:space="preserve">Coincident_WetBulb</t>
  </si>
  <si>
    <t xml:space="preserve">Derived from location — ASHRAE N=20yr peak wet-bulb</t>
  </si>
  <si>
    <t xml:space="preserve">Grid_Carbon_Intensity</t>
  </si>
  <si>
    <t xml:space="preserve">kgCO2/kWh</t>
  </si>
  <si>
    <t xml:space="preserve">Assumption: Abu Dhabi grid avg (Barakah nuclear + gas + solar mix)</t>
  </si>
  <si>
    <t xml:space="preserve">Water_Usage_Effectiveness</t>
  </si>
  <si>
    <t xml:space="preserve">L/kWh</t>
  </si>
  <si>
    <t xml:space="preserve">Assumption: closed-loop dry coolers, minimal adiabatic assist</t>
  </si>
  <si>
    <t xml:space="preserve">Technical Specs</t>
  </si>
  <si>
    <t xml:space="preserve">VR_Rack_Type</t>
  </si>
  <si>
    <t xml:space="preserve">Vera Rubin NVL72</t>
  </si>
  <si>
    <t xml:space="preserve">Dropdown from 'Rack Type Library' — sets power, GPUs, TDP, cooling, LPM</t>
  </si>
  <si>
    <t xml:space="preserve">VR_Rack_Power_kW</t>
  </si>
  <si>
    <t xml:space="preserve">kW/rack</t>
  </si>
  <si>
    <t xml:space="preserve">Derived from rack type — published/reported rack power</t>
  </si>
  <si>
    <t xml:space="preserve">GPUs_Per_Rack</t>
  </si>
  <si>
    <t xml:space="preserve">Derived from rack type</t>
  </si>
  <si>
    <t xml:space="preserve">VR_GPU_TDP_W</t>
  </si>
  <si>
    <t xml:space="preserve">W/GPU</t>
  </si>
  <si>
    <t xml:space="preserve">Derived from rack type — per-GPU TDP (reported/est.)</t>
  </si>
  <si>
    <t xml:space="preserve">VR_Cooling_Type</t>
  </si>
  <si>
    <t xml:space="preserve">Liquid/Air</t>
  </si>
  <si>
    <t xml:space="preserve">VR_LPM_Per_Rack</t>
  </si>
  <si>
    <t xml:space="preserve">LPM</t>
  </si>
  <si>
    <t xml:space="preserve">Derived from rack type — required flow at the model's dT</t>
  </si>
  <si>
    <t xml:space="preserve">VR_Rack_CapEx_M</t>
  </si>
  <si>
    <t xml:space="preserve">$M/rack</t>
  </si>
  <si>
    <t xml:space="preserve">Derived from rack type — reported platform price</t>
  </si>
  <si>
    <t xml:space="preserve">VR_Rack_Count</t>
  </si>
  <si>
    <t xml:space="preserve">racks</t>
  </si>
  <si>
    <t xml:space="preserve">Any number of compute racks of the selected type</t>
  </si>
  <si>
    <t xml:space="preserve">Network_Rack_Type</t>
  </si>
  <si>
    <t xml:space="preserve">Quantum-X800 IB fabric rack</t>
  </si>
  <si>
    <t xml:space="preserve">Dropdown from 'Rack Type Library'</t>
  </si>
  <si>
    <t xml:space="preserve">Network_Rack_Power_kW</t>
  </si>
  <si>
    <t xml:space="preserve">Network_Cooling_Type</t>
  </si>
  <si>
    <t xml:space="preserve">Network_Rack_CapEx_M</t>
  </si>
  <si>
    <t xml:space="preserve">Network_Rack_Count</t>
  </si>
  <si>
    <t xml:space="preserve">Any number of network racks of the selected type</t>
  </si>
  <si>
    <t xml:space="preserve">Storage_Rack_Type</t>
  </si>
  <si>
    <t xml:space="preserve">NVMe flash storage rack</t>
  </si>
  <si>
    <t xml:space="preserve">Storage_Rack_Power_kW</t>
  </si>
  <si>
    <t xml:space="preserve">Storage_Cooling_Type</t>
  </si>
  <si>
    <t xml:space="preserve">Storage_Rack_CapEx_M</t>
  </si>
  <si>
    <t xml:space="preserve">Storage_Rack_Count</t>
  </si>
  <si>
    <t xml:space="preserve">Any number of storage racks of the selected type</t>
  </si>
  <si>
    <t xml:space="preserve">Liquid_Cooling_Overhead</t>
  </si>
  <si>
    <t xml:space="preserve">kW/kW</t>
  </si>
  <si>
    <t xml:space="preserve">Cooling power per kW of liquid-cooled IT (CDU pumps, dry-cooler fans)</t>
  </si>
  <si>
    <t xml:space="preserve">Air_Cooling_Overhead</t>
  </si>
  <si>
    <t xml:space="preserve">Cooling power per kW of air-cooled IT (high-ambient chillers, CRAHs)</t>
  </si>
  <si>
    <t xml:space="preserve">Liquid_Supply_Temp_FWS</t>
  </si>
  <si>
    <t xml:space="preserve">S45 direct-to-chip loop</t>
  </si>
  <si>
    <t xml:space="preserve">Liquid_Return_Temp_FWR</t>
  </si>
  <si>
    <t xml:space="preserve">Facility water return — sets the loop delta-T</t>
  </si>
  <si>
    <t xml:space="preserve">Coolant_Specific_Heat</t>
  </si>
  <si>
    <t xml:space="preserve">kJ/kg·K</t>
  </si>
  <si>
    <t xml:space="preserve">Assumption: PG25 water/glycol at ~50°C</t>
  </si>
  <si>
    <t xml:space="preserve">Coolant_Density</t>
  </si>
  <si>
    <t xml:space="preserve">kg/L</t>
  </si>
  <si>
    <t xml:space="preserve">Assumption: PG25 mixture density</t>
  </si>
  <si>
    <t xml:space="preserve">Target_Annualized_PUE</t>
  </si>
  <si>
    <t xml:space="preserve">Drives facility energy = IT energy x PUE</t>
  </si>
  <si>
    <t xml:space="preserve">Cluster_Utilization</t>
  </si>
  <si>
    <t xml:space="preserve">Assumption: avg power/capacity utilization of the fleet</t>
  </si>
  <si>
    <t xml:space="preserve">Uptime_Availability</t>
  </si>
  <si>
    <t xml:space="preserve">Assumption: contractual availability SLA</t>
  </si>
  <si>
    <t xml:space="preserve">Tokens_Per_GPU_Sec</t>
  </si>
  <si>
    <t xml:space="preserve">tok/s/GPU</t>
  </si>
  <si>
    <t xml:space="preserve">Assumption: blended inference throughput per Rubin GPU</t>
  </si>
  <si>
    <t xml:space="preserve">Token_Fleet_Share</t>
  </si>
  <si>
    <t xml:space="preserve">Share of fleet serving the API token market</t>
  </si>
  <si>
    <t xml:space="preserve">Financial &amp; Fiscal</t>
  </si>
  <si>
    <t xml:space="preserve">Electricity_Tariff</t>
  </si>
  <si>
    <t xml:space="preserve">Abu Dhabi industrial rate (Year 1)</t>
  </si>
  <si>
    <t xml:space="preserve">Tariff_Escalation</t>
  </si>
  <si>
    <t xml:space="preserve">%/yr</t>
  </si>
  <si>
    <t xml:space="preserve">Assumption: annual power price escalation</t>
  </si>
  <si>
    <t xml:space="preserve">Facility_CapEx_Per_MW</t>
  </si>
  <si>
    <t xml:space="preserve">$/MW</t>
  </si>
  <si>
    <t xml:space="preserve">Facility-only build cost per MW of IT (benchmark $9.9-12.2M/MW midpoint) — scales with the configured racks</t>
  </si>
  <si>
    <t xml:space="preserve">CapEx_Initial</t>
  </si>
  <si>
    <t xml:space="preserve">DERIVED: facility $/MW x IT MW + per-rack prices from the Rack Type Library — scales with any rack count/type</t>
  </si>
  <si>
    <t xml:space="preserve">Residual_Value_Pct</t>
  </si>
  <si>
    <t xml:space="preserve">Assumption: pre-tax residual recovery of CapEx at end of Year 5</t>
  </si>
  <si>
    <t xml:space="preserve">Debt_Ratio</t>
  </si>
  <si>
    <t xml:space="preserve">User adjustable (50% - 80%)</t>
  </si>
  <si>
    <t xml:space="preserve">Interest_Rate</t>
  </si>
  <si>
    <t xml:space="preserve">Senior debt facility rate</t>
  </si>
  <si>
    <t xml:space="preserve">Debt_Tenor</t>
  </si>
  <si>
    <t xml:space="preserve">Years</t>
  </si>
  <si>
    <t xml:space="preserve">Annual amortization schedule</t>
  </si>
  <si>
    <t xml:space="preserve">Model_Horizon_Years</t>
  </si>
  <si>
    <t xml:space="preserve">Pro forma &amp; sensitivity horizon — STRUCTURAL: regenerate the workbook to change (year columns are created at build time)</t>
  </si>
  <si>
    <t xml:space="preserve">Depreciation_Life_Years</t>
  </si>
  <si>
    <t xml:space="preserve">Straight-line depreciation life for the CapEx</t>
  </si>
  <si>
    <t xml:space="preserve">UAE_Corporate_Tax</t>
  </si>
  <si>
    <t xml:space="preserve">Statutory corporate tax rate</t>
  </si>
  <si>
    <t xml:space="preserve">GIDLR_EBITDA_Cap</t>
  </si>
  <si>
    <t xml:space="preserve">UAE interest deduction limit — applied via MIN() in the tax calc</t>
  </si>
  <si>
    <t xml:space="preserve">Equity_Discount_Rate</t>
  </si>
  <si>
    <t xml:space="preserve">Assumption: hurdle rate for equity NPV</t>
  </si>
  <si>
    <t xml:space="preserve">Fixed_OpEx_Per_MW</t>
  </si>
  <si>
    <t xml:space="preserve">$/MW/yr</t>
  </si>
  <si>
    <t xml:space="preserve">Staff, maintenance, insurance, connectivity per MW of IT (calibrated from the prior $10.877M @ 8.264 MW baseline)</t>
  </si>
  <si>
    <t xml:space="preserve">Fixed_OpEx_Annual</t>
  </si>
  <si>
    <t xml:space="preserve">DERIVED: fixed OpEx $/MW x configured IT MW</t>
  </si>
  <si>
    <t xml:space="preserve">OpEx_Escalation</t>
  </si>
  <si>
    <t xml:space="preserve">Assumption: annual fixed-OpEx inflation</t>
  </si>
  <si>
    <t xml:space="preserve">Revenue Strategy</t>
  </si>
  <si>
    <t xml:space="preserve">Lease_Price_Per_GPU_Hr</t>
  </si>
  <si>
    <t xml:space="preserve">Blended bare-metal lease rate (calibrated to the prior $58.8M @ 32-rack baseline; market GB200-class $8-11)</t>
  </si>
  <si>
    <t xml:space="preserve">Lease_Revenue_70pct</t>
  </si>
  <si>
    <t xml:space="preserve">DERIVED: lease $/GPU-hr x sold GPU-hours x lease fleet share</t>
  </si>
  <si>
    <t xml:space="preserve">Token_Price_Per_M_Tok</t>
  </si>
  <si>
    <t xml:space="preserve">Realized blended token price (calibrated to the prior $25.2M baseline)</t>
  </si>
  <si>
    <t xml:space="preserve">Token_Revenue_30pct</t>
  </si>
  <si>
    <t xml:space="preserve">DERIVED: token $/M x annual token capacity of the token fleet</t>
  </si>
  <si>
    <t xml:space="preserve">Year1_Ramp_Factor</t>
  </si>
  <si>
    <t xml:space="preserve">Assumption: Year 1 commissioning / fill-up ramp</t>
  </si>
  <si>
    <t xml:space="preserve">Lease_Price_Escalation</t>
  </si>
  <si>
    <t xml:space="preserve">Assumption: lease repricing per year</t>
  </si>
  <si>
    <t xml:space="preserve">Token_Price_Decline</t>
  </si>
  <si>
    <t xml:space="preserve">Core tokenomics: $/token deflation per year</t>
  </si>
  <si>
    <t xml:space="preserve">Token_Volume_Growth</t>
  </si>
  <si>
    <t xml:space="preserve">Token demand growth (partially offsets price decline)</t>
  </si>
  <si>
    <t xml:space="preserve">Expansion_Blocks_Per_Year</t>
  </si>
  <si>
    <t xml:space="preserve">2,2,4,4,4</t>
  </si>
  <si>
    <t xml:space="preserve">blocks/yr</t>
  </si>
  <si>
    <t xml:space="preserve">Comma-separated blocks added per year (padded/truncated to the horizon); one block = this workbook's full rack architecture. Live numeric cells are on the 'Phased Expansion' sheet.</t>
  </si>
  <si>
    <t xml:space="preserve">Legend: yellow cells with blue text are the editable inputs; all other cells in this workbook are formulas.</t>
  </si>
  <si>
    <t xml:space="preserve">Rows marked 'Assumption' are user-supplied estimates, not sourced market data — revisit before investment use.</t>
  </si>
  <si>
    <t xml:space="preserve">Geo_Location must exactly match a row on the 'ASHRAE Climate Library' sheet; the four 'Derived from location' rows update automatically. Cooling types must be 'Liquid' or 'Air'.</t>
  </si>
  <si>
    <t xml:space="preserve">Rack Type Library — Published Platform Specifications</t>
  </si>
  <si>
    <t xml:space="preserve">Editable reference data (blue cells): rack power and per-GPU TDP are published/reported figures; 'est.' rows need verification. Required LPM is computed live from the Control Panel's coolant inputs.</t>
  </si>
  <si>
    <t xml:space="preserve">Rack Type</t>
  </si>
  <si>
    <t xml:space="preserve">Class</t>
  </si>
  <si>
    <t xml:space="preserve">GPUs / Rack</t>
  </si>
  <si>
    <t xml:space="preserve">Rack Power (kW)</t>
  </si>
  <si>
    <t xml:space="preserve">GPU TDP (W)</t>
  </si>
  <si>
    <t xml:space="preserve">Cooling</t>
  </si>
  <si>
    <t xml:space="preserve">Required LPM / Rack</t>
  </si>
  <si>
    <t xml:space="preserve">Rack CapEx ($M)</t>
  </si>
  <si>
    <t xml:space="preserve">Notes / Source</t>
  </si>
  <si>
    <t xml:space="preserve">Compute</t>
  </si>
  <si>
    <t xml:space="preserve">Liquid</t>
  </si>
  <si>
    <t xml:space="preserve">Reported envelope 130-250 kW; 227 kW = Max-P; $6.0-8.8M reported</t>
  </si>
  <si>
    <t xml:space="preserve">GB300 NVL72</t>
  </si>
  <si>
    <t xml:space="preserve">Vendor ~132-142 kW nominal, ~155 kW peak; price est.</t>
  </si>
  <si>
    <t xml:space="preserve">GB200 NVL72</t>
  </si>
  <si>
    <t xml:space="preserve">~120 kW nominal; $3.1-3.9M all-in reported</t>
  </si>
  <si>
    <t xml:space="preserve">Rubin Ultra NVL576 (Kyber)</t>
  </si>
  <si>
    <t xml:space="preserve">Announced; power &amp; price are estimates — verify before design</t>
  </si>
  <si>
    <t xml:space="preserve">HGX H100 air rack (4x 8-GPU)</t>
  </si>
  <si>
    <t xml:space="preserve">Air</t>
  </si>
  <si>
    <t xml:space="preserve">Legacy air-cooled baseline</t>
  </si>
  <si>
    <t xml:space="preserve">Network</t>
  </si>
  <si>
    <t xml:space="preserve">Scale-out leaf/spine block — estimate</t>
  </si>
  <si>
    <t xml:space="preserve">Spectrum-X CPO fabric rack</t>
  </si>
  <si>
    <t xml:space="preserve">Co-packaged-optics switch rack — estimate</t>
  </si>
  <si>
    <t xml:space="preserve">Storage</t>
  </si>
  <si>
    <t xml:space="preserve">High-performance NVMe tier — estimate</t>
  </si>
  <si>
    <t xml:space="preserve">HDD object storage rack</t>
  </si>
  <si>
    <t xml:space="preserve">Bulk object tier — estimate</t>
  </si>
  <si>
    <t xml:space="preserve">ASHRAE Climate &amp; 90.4 Compliance Library</t>
  </si>
  <si>
    <t xml:space="preserve">Editable reference data — verify MLC limits against ASHRAE 90.4-2019 Table 6.5.1.1 and temperatures against ASHRAE Fundamentals n=20yr return-period extremes before design use</t>
  </si>
  <si>
    <t xml:space="preserve">Location</t>
  </si>
  <si>
    <t xml:space="preserve">ASHRAE 169 Zone</t>
  </si>
  <si>
    <t xml:space="preserve">ASHRAE 90.4 Max Design MLC</t>
  </si>
  <si>
    <t xml:space="preserve">N=20yr Peak Dry-Bulb (°C)</t>
  </si>
  <si>
    <t xml:space="preserve">N=20yr Peak Wet-Bulb (°C)</t>
  </si>
  <si>
    <t xml:space="preserve">Notes</t>
  </si>
  <si>
    <t xml:space="preserve">1A</t>
  </si>
  <si>
    <t xml:space="preserve">Project baseline; ASHRAE 169-2021 may reclassify as 0B</t>
  </si>
  <si>
    <t xml:space="preserve">Dubai, UAE</t>
  </si>
  <si>
    <t xml:space="preserve">0B</t>
  </si>
  <si>
    <t xml:space="preserve">Riyadh, Saudi Arabia</t>
  </si>
  <si>
    <t xml:space="preserve">Dry extreme heat</t>
  </si>
  <si>
    <t xml:space="preserve">Singapore</t>
  </si>
  <si>
    <t xml:space="preserve">0A</t>
  </si>
  <si>
    <t xml:space="preserve">High wet-bulb year-round</t>
  </si>
  <si>
    <t xml:space="preserve">Mumbai, India</t>
  </si>
  <si>
    <t xml:space="preserve">Phoenix, AZ, USA</t>
  </si>
  <si>
    <t xml:space="preserve">2B</t>
  </si>
  <si>
    <t xml:space="preserve">Dallas, TX, USA</t>
  </si>
  <si>
    <t xml:space="preserve">3A</t>
  </si>
  <si>
    <t xml:space="preserve">Ashburn, VA, USA</t>
  </si>
  <si>
    <t xml:space="preserve">4A</t>
  </si>
  <si>
    <t xml:space="preserve">N. Virginia hub</t>
  </si>
  <si>
    <t xml:space="preserve">Chicago, IL, USA</t>
  </si>
  <si>
    <t xml:space="preserve">5A</t>
  </si>
  <si>
    <t xml:space="preserve">Frankfurt, Germany</t>
  </si>
  <si>
    <t xml:space="preserve">Amsterdam, Netherlands</t>
  </si>
  <si>
    <t xml:space="preserve">Dublin, Ireland</t>
  </si>
  <si>
    <t xml:space="preserve">Free-cooling friendly</t>
  </si>
  <si>
    <t xml:space="preserve">Oslo, Norway</t>
  </si>
  <si>
    <t xml:space="preserve">6A</t>
  </si>
  <si>
    <t xml:space="preserve">Tokyo, Japan</t>
  </si>
  <si>
    <t xml:space="preserve">Sydney, Australia</t>
  </si>
  <si>
    <t xml:space="preserve">Thermal Hydraulics &amp; ASHRAE 90.4 Compliance Engine</t>
  </si>
  <si>
    <t xml:space="preserve">S45 closed-loop fluid dynamics, 3-stage trim cooling, and annual energy / water / carbon footprint</t>
  </si>
  <si>
    <t xml:space="preserve">Metric / Calculation Step</t>
  </si>
  <si>
    <t xml:space="preserve">VR Compute Rack Load</t>
  </si>
  <si>
    <t xml:space="preserve">kW</t>
  </si>
  <si>
    <t xml:space="preserve">VR racks x kW/rack</t>
  </si>
  <si>
    <t xml:space="preserve">Network Rack Load</t>
  </si>
  <si>
    <t xml:space="preserve">Network racks x kW/rack</t>
  </si>
  <si>
    <t xml:space="preserve">Storage Rack Load</t>
  </si>
  <si>
    <t xml:space="preserve">Storage racks x kW/rack</t>
  </si>
  <si>
    <t xml:space="preserve">Total Combined IT Load</t>
  </si>
  <si>
    <t xml:space="preserve">VR compute + network + storage</t>
  </si>
  <si>
    <t xml:space="preserve">Liquid-Cooled IT Load</t>
  </si>
  <si>
    <t xml:space="preserve">Sum of rack classes whose cooling type is 'Liquid'</t>
  </si>
  <si>
    <t xml:space="preserve">Air-Cooled IT Load</t>
  </si>
  <si>
    <t xml:space="preserve">Total IT load minus liquid-cooled load</t>
  </si>
  <si>
    <t xml:space="preserve">Liquid-Cooled Rack Count</t>
  </si>
  <si>
    <t xml:space="preserve">Racks on the S45 loop (cooling type = 'Liquid')</t>
  </si>
  <si>
    <t xml:space="preserve">S45 Loop Supply Temperature</t>
  </si>
  <si>
    <t xml:space="preserve">Facility Water Supply (FWS)</t>
  </si>
  <si>
    <t xml:space="preserve">S45 Loop Return Temperature</t>
  </si>
  <si>
    <t xml:space="preserve">Facility Water Return (FWR)</t>
  </si>
  <si>
    <t xml:space="preserve">S45 Loop Delta T</t>
  </si>
  <si>
    <t xml:space="preserve">Hydraulic temperature split</t>
  </si>
  <si>
    <t xml:space="preserve">S45 Liquid Flow Rate per VR Rack</t>
  </si>
  <si>
    <t xml:space="preserve">Physics: Q/(rho*Cp*dT)*60 — flow required to absorb one VR rack</t>
  </si>
  <si>
    <t xml:space="preserve">Total S45 Cluster Flow Rate</t>
  </si>
  <si>
    <t xml:space="preserve">Physics: liquid-cooled load/(rho*Cp*dT)*60</t>
  </si>
  <si>
    <t xml:space="preserve">Peak Ambient Dry-Bulb (N=20yr)</t>
  </si>
  <si>
    <t xml:space="preserve">ASHRAE n=20yr extreme — derived from location</t>
  </si>
  <si>
    <t xml:space="preserve">Peak Wet-Bulb (N=20yr)</t>
  </si>
  <si>
    <t xml:space="preserve">ASHRAE n=20yr — derived from location</t>
  </si>
  <si>
    <t xml:space="preserve">S45 Peak Rejection Approach</t>
  </si>
  <si>
    <t xml:space="preserve">K</t>
  </si>
  <si>
    <t xml:space="preserve">FWR minus peak dry-bulb (positive = dry cooling viable)</t>
  </si>
  <si>
    <t xml:space="preserve">Liquid Loop Cooling Power</t>
  </si>
  <si>
    <t xml:space="preserve">Liquid-cooled load x liquid cooling overhead input</t>
  </si>
  <si>
    <t xml:space="preserve">Air Loop Cooling Power</t>
  </si>
  <si>
    <t xml:space="preserve">Air-cooled load x air cooling overhead input</t>
  </si>
  <si>
    <t xml:space="preserve">Total Cooling Peak Power</t>
  </si>
  <si>
    <t xml:space="preserve">Combined cooling power</t>
  </si>
  <si>
    <t xml:space="preserve">Peak Mechanical Load Component (MLC)</t>
  </si>
  <si>
    <t xml:space="preserve">Cooling power / total IT load</t>
  </si>
  <si>
    <t xml:space="preserve">ASHRAE 90.4 MLC Limit (from location)</t>
  </si>
  <si>
    <t xml:space="preserve">Max design MLC for the selected location's climate zone</t>
  </si>
  <si>
    <t xml:space="preserve">Safety Compliance Margin</t>
  </si>
  <si>
    <t xml:space="preserve">Operational margin under the location's 90.4 limit</t>
  </si>
  <si>
    <t xml:space="preserve">Average Utilized IT Power</t>
  </si>
  <si>
    <t xml:space="preserve">Total IT x utilization x uptime</t>
  </si>
  <si>
    <t xml:space="preserve">Annualized PUE</t>
  </si>
  <si>
    <t xml:space="preserve">Facility energy multiplier on IT energy</t>
  </si>
  <si>
    <t xml:space="preserve">Avg IT power x 8760h x PUE</t>
  </si>
  <si>
    <t xml:space="preserve">Facility kWh x WUE</t>
  </si>
  <si>
    <t xml:space="preserve">Facility kWh x grid intensity</t>
  </si>
  <si>
    <t xml:space="preserve">5-Year Leveraged Financial Model &amp; Debt Amortization</t>
  </si>
  <si>
    <t xml:space="preserve">UAE corporate tax (9%) with GIDLR 30%-of-EBITDA interest cap, revenue ramp &amp; escalations, full debt schedule and equity returns</t>
  </si>
  <si>
    <t xml:space="preserve">Line Item (USD)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</si>
  <si>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</si>
  <si>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</si>
  <si>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</si>
  <si>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</si>
  <si>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</si>
  <si>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</si>
  <si>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Revenue Ramp Factor</t>
  </si>
  <si>
    <t xml:space="preserve">Lease Revenue</t>
  </si>
  <si>
    <t xml:space="preserve">Token Revenue</t>
  </si>
  <si>
    <t xml:space="preserve">Gross Annual Revenue</t>
  </si>
  <si>
    <t xml:space="preserve">Effective Power Tariff</t>
  </si>
  <si>
    <t xml:space="preserve">Annual Facility Energy (kWh)</t>
  </si>
  <si>
    <t xml:space="preserve">Electricity Cost</t>
  </si>
  <si>
    <t xml:space="preserve">Fixed Non-Power OpEx</t>
  </si>
  <si>
    <t xml:space="preserve">Total Operational Expense (OpEx)</t>
  </si>
  <si>
    <t xml:space="preserve">EBITDA</t>
  </si>
  <si>
    <t xml:space="preserve">EBITDA Margin</t>
  </si>
  <si>
    <t xml:space="preserve">CapEx Initial Outlay</t>
  </si>
  <si>
    <t xml:space="preserve">Debt Financed Amount</t>
  </si>
  <si>
    <t xml:space="preserve">Equity Outlay</t>
  </si>
  <si>
    <t xml:space="preserve">Beginning Debt Balance</t>
  </si>
  <si>
    <t xml:space="preserve">Annual Debt Service (P+I)</t>
  </si>
  <si>
    <t xml:space="preserve">Interest Expense</t>
  </si>
  <si>
    <t xml:space="preserve">Debt Principal Payment</t>
  </si>
  <si>
    <t xml:space="preserve">Ending Debt Balance</t>
  </si>
  <si>
    <t xml:space="preserve">Depreciation (Straight Line)</t>
  </si>
  <si>
    <t xml:space="preserve">GIDLR Deductible Interest</t>
  </si>
  <si>
    <t xml:space="preserve">Taxable Income</t>
  </si>
  <si>
    <t xml:space="preserve">UAE Corporate Tax</t>
  </si>
  <si>
    <t xml:space="preserve">Residual Value Recovery</t>
  </si>
  <si>
    <t xml:space="preserve">Leveraged Free Cash Flow (FCFE)</t>
  </si>
  <si>
    <t xml:space="preserve">Cumulative FCFE</t>
  </si>
  <si>
    <t xml:space="preserve">Debt Service Coverage Ratio (DSCR)</t>
  </si>
  <si>
    <t xml:space="preserve">Unlevered Tax (no interest shield)</t>
  </si>
  <si>
    <t xml:space="preserve">Unlevered Free Cash Flow (FCFF)</t>
  </si>
  <si>
    <t xml:space="preserve">Equity Returns Summary</t>
  </si>
  <si>
    <t xml:space="preserve">MOIC (total distributions / equity)</t>
  </si>
  <si>
    <t xml:space="preserve">Average DSCR</t>
  </si>
  <si>
    <t xml:space="preserve">Unit Economics &amp; Operational KPIs</t>
  </si>
  <si>
    <t xml:space="preserve">GPU-hour and token-level economics (steady-state Year 2, post-ramp) — all cells formula-driven</t>
  </si>
  <si>
    <t xml:space="preserve">Derivation</t>
  </si>
  <si>
    <t xml:space="preserve">Racks x GPUs per rack</t>
  </si>
  <si>
    <t xml:space="preserve">Available GPU-hours / yr</t>
  </si>
  <si>
    <t xml:space="preserve">GPU-hrs</t>
  </si>
  <si>
    <t xml:space="preserve">GPUs x 8760h x uptime</t>
  </si>
  <si>
    <t xml:space="preserve">Sold GPU-hours / yr</t>
  </si>
  <si>
    <t xml:space="preserve">Available x utilization</t>
  </si>
  <si>
    <t xml:space="preserve">Year 2 gross revenue / sold GPU-hours</t>
  </si>
  <si>
    <t xml:space="preserve">Cash OpEx per Sold GPU-hour</t>
  </si>
  <si>
    <t xml:space="preserve">Year 2 total OpEx / sold GPU-hours</t>
  </si>
  <si>
    <t xml:space="preserve">EBITDA per Sold GPU-hour</t>
  </si>
  <si>
    <t xml:space="preserve">Revenue minus cash OpEx per GPU-hour</t>
  </si>
  <si>
    <t xml:space="preserve">Total CapEx / GPU count</t>
  </si>
  <si>
    <t xml:space="preserve">CapEx per MW of IT Load</t>
  </si>
  <si>
    <t xml:space="preserve">Total CapEx / total IT MW</t>
  </si>
  <si>
    <t xml:space="preserve">Revenue per MW of IT Load</t>
  </si>
  <si>
    <t xml:space="preserve">Year 2 revenue / total IT MW</t>
  </si>
  <si>
    <t xml:space="preserve">Annual Token Capacity (token fleet)</t>
  </si>
  <si>
    <t xml:space="preserve">T tokens/yr</t>
  </si>
  <si>
    <t xml:space="preserve">Token-fleet GPUs x tok/s x seconds x utilization x uptime</t>
  </si>
  <si>
    <t xml:space="preserve">Implied Realized Price per M Tokens</t>
  </si>
  <si>
    <t xml:space="preserve">Year 2 token revenue / token capacity</t>
  </si>
  <si>
    <t xml:space="preserve">Token-fleet share of Year 2 OpEx / token capacity</t>
  </si>
  <si>
    <t xml:space="preserve">Year 2 electricity / Year 2 revenue</t>
  </si>
  <si>
    <t xml:space="preserve">Breakeven Power Tariff (EBITDA = 0)</t>
  </si>
  <si>
    <t xml:space="preserve">(Year 2 revenue - fixed OpEx) / annual kWh</t>
  </si>
  <si>
    <t xml:space="preserve">Min Revenue for 1.00x DSCR</t>
  </si>
  <si>
    <t xml:space="preserve">Debt service + Year 2 OpEx</t>
  </si>
  <si>
    <t xml:space="preserve">Revenue Headroom above 1.00x DSCR</t>
  </si>
  <si>
    <t xml:space="preserve">1 - min revenue / Year 2 revenue</t>
  </si>
  <si>
    <t xml:space="preserve">Sensitivity Engine — 16 Live Scenarios over 5 Years</t>
  </si>
  <si>
    <t xml:space="preserve">Each row re-runs the full leveraged model (debt schedule, GIDLR tax cap, residual value) for one tariff x debt-ratio combination</t>
  </si>
  <si>
    <t xml:space="preserve">Scenario</t>
  </si>
  <si>
    <t xml:space="preserve">Tariff $/kWh</t>
  </si>
  <si>
    <t xml:space="preserve">Debt %</t>
  </si>
  <si>
    <t xml:space="preserve">Debt $</t>
  </si>
  <si>
    <t xml:space="preserve">Equity $</t>
  </si>
  <si>
    <t xml:space="preserve">Debt Service</t>
  </si>
  <si>
    <t xml:space="preserve">Y0 FCFE</t>
  </si>
  <si>
    <t xml:space="preserve">Y1 FCFE</t>
  </si>
  <si>
    <t xml:space="preserve">Y2 FCFE</t>
  </si>
  <si>
    <t xml:space="preserve">Y3 FCFE</t>
  </si>
  <si>
    <t xml:space="preserve">Y4 FCFE</t>
  </si>
  <si>
    <t xml:space="preserve">Y5 FCFE</t>
  </si>
  <si>
    <t xml:space="preserve">Equity IRR</t>
  </si>
  <si>
    <t xml:space="preserve">Avg DSCR</t>
  </si>
  <si>
    <t xml:space="preserve">Scenario EBITDA Grid (Year 1-5)</t>
  </si>
  <si>
    <t xml:space="preserve">Y1 EBITDA</t>
  </si>
  <si>
    <t xml:space="preserve">Y2 EBITDA</t>
  </si>
  <si>
    <t xml:space="preserve">Y3 EBITDA</t>
  </si>
  <si>
    <t xml:space="preserve">Y4 EBITDA</t>
  </si>
  <si>
    <t xml:space="preserve">Y5 EBITDA</t>
  </si>
  <si>
    <t xml:space="preserve">5-Year Leveraged Sensitivity Matrices</t>
  </si>
  <si>
    <t xml:space="preserve">Power tariff ($0.04 - $0.10/kWh) vs. debt ratio (50% - 80%) — every cell is a live link to the Sensitivity Engine</t>
  </si>
  <si>
    <t xml:space="preserve">Matrix 1: Leveraged 5-Year Equity IRR (%)</t>
  </si>
  <si>
    <t xml:space="preserve">Power Tariff ($/kWh)</t>
  </si>
  <si>
    <t xml:space="preserve">Matrix 2: Average Debt Service Coverage Ratio (DSCR)</t>
  </si>
  <si>
    <t xml:space="preserve">Phased Campus Expansion — Identical Blocks</t>
  </si>
  <si>
    <t xml:space="preserve">Each block replicates this workbook's rack architecture; block economics use the single-block Year-2 (steady-state) pro forma. Simplification: per-vintage token-price dynamics and per-block financing are not modeled here.</t>
  </si>
  <si>
    <t xml:space="preserve">Metric</t>
  </si>
  <si>
    <t xml:space="preserve">Blocks Added (input)</t>
  </si>
  <si>
    <t xml:space="preserve">Cumulative Blocks</t>
  </si>
  <si>
    <t xml:space="preserve">Campus IT Capacity (MW)</t>
  </si>
  <si>
    <t xml:space="preserve">Campus GPUs</t>
  </si>
  <si>
    <t xml:space="preserve">Effective Revenue Blocks</t>
  </si>
  <si>
    <t xml:space="preserve">Campus Revenue</t>
  </si>
  <si>
    <t xml:space="preserve">Campus EBITDA</t>
  </si>
  <si>
    <t xml:space="preserve">CapEx Deployed</t>
  </si>
  <si>
    <t xml:space="preserve">Campus Net Cash Flow</t>
  </si>
  <si>
    <t xml:space="preserve">Cumulative Funding Position</t>
  </si>
  <si>
    <t xml:space="preserve">Campus KPIs</t>
  </si>
  <si>
    <t xml:space="preserve">Campus Cash-Positive Year</t>
  </si>
  <si>
    <t xml:space="preserve">Final Campus IT Capacity (MW)</t>
  </si>
  <si>
    <t xml:space="preserve">Run-Rate Campus EBITDA (full blocks)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</si>
</sst>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%"/>
    <numFmt numFmtId="166" formatCode="\$#,##0"/>
    <numFmt numFmtId="167" formatCode="0.00\x"/>
    <numFmt numFmtId="168" formatCode="0.00&quot; yrs&quot;"/>
    <numFmt numFmtId="169" formatCode="0.000"/>
    <numFmt numFmtId="170" formatCode="@"/>
    <numFmt numFmtId="171" formatCode="#,##0"/>
    <numFmt numFmtId="172" formatCode="\$#,##0.00"/>
    <numFmt numFmtId="173" formatCode="\$#,##0.000"/>
    <numFmt numFmtId="174" formatCode="#,##0.0"/>
    <numFmt numFmtId="175" formatCode="0.00"/>
    <numFmt numFmtId="176" formatCode="0.00%"/>
    <numFmt numFmtId="177" formatCode="\$#,##0.0000"/>
    <numFmt numFmtId="178" formatCode="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Georgia"/>
      <family val="0"/>
      <charset val="1"/>
    </font>
    <font>
      <i val="true"/>
      <sz val="10"/>
      <color rgb="FFC9D7EC"/>
      <name val="Georgia"/>
      <family val="0"/>
      <charset val="1"/>
    </font>
    <font>
      <b val="true"/>
      <sz val="10"/>
      <color rgb="FFFFFFFF"/>
      <name val="Segoe UI"/>
      <family val="0"/>
      <charset val="1"/>
    </font>
    <font>
      <b val="true"/>
      <sz val="11"/>
      <color rgb="FF1F4E78"/>
      <name val="Segoe UI"/>
      <family val="0"/>
      <charset val="1"/>
    </font>
    <font>
      <sz val="10"/>
      <name val="Segoe UI"/>
      <family val="0"/>
      <charset val="1"/>
    </font>
    <font>
      <b val="true"/>
      <sz val="10"/>
      <color rgb="FF008000"/>
      <name val="Consolas"/>
      <family val="0"/>
      <charset val="1"/>
    </font>
    <font>
      <i val="true"/>
      <sz val="9"/>
      <color rgb="FF737373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FF"/>
      <name val="Consolas"/>
      <family val="0"/>
      <charset val="1"/>
    </font>
    <font>
      <sz val="10"/>
      <color rgb="FF008000"/>
      <name val="Consolas"/>
      <family val="0"/>
      <charset val="1"/>
    </font>
    <font>
      <b val="true"/>
      <sz val="10"/>
      <name val="Consolas"/>
      <family val="0"/>
      <charset val="1"/>
    </font>
    <font>
      <b val="true"/>
      <sz val="10"/>
      <name val="Segoe UI"/>
      <family val="0"/>
      <charset val="1"/>
    </font>
    <font>
      <sz val="10"/>
      <name val="Consolas"/>
      <family val="0"/>
      <charset val="1"/>
    </font>
    <font>
      <sz val="11"/>
      <color theme="1"/>
      <name val="Consola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9D9D9"/>
      </patternFill>
    </fill>
    <fill>
      <patternFill patternType="solid">
        <fgColor rgb="FFF5F7FA"/>
        <bgColor rgb="FFFFFFFF"/>
      </patternFill>
    </fill>
    <fill>
      <patternFill patternType="solid">
        <fgColor rgb="FFFFF2CC"/>
        <bgColor rgb="FFFDECEA"/>
      </patternFill>
    </fill>
    <fill>
      <patternFill patternType="solid">
        <fgColor rgb="FFE2EFDA"/>
        <bgColor rgb="FFD9E1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double">
        <color rgb="FF1F4E7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Consolas"/>
        <charset val="1"/>
        <family val="0"/>
        <b val="1"/>
        <color rgb="FFC00000"/>
        <sz val="10"/>
      </font>
      <fill>
        <patternFill>
          <bgColor rgb="FFFDECEA"/>
        </patternFill>
      </fill>
    </dxf>
    <dxf>
      <font>
        <name val="Consolas"/>
        <charset val="1"/>
        <family val="0"/>
        <b val="1"/>
        <color rgb="FFC00000"/>
        <sz val="1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5B9BD5"/>
      <rgbColor rgb="FF7030A0"/>
      <rgbColor rgb="FFFFF2CC"/>
      <rgbColor rgb="FFF5F7FA"/>
      <rgbColor rgb="FF660066"/>
      <rgbColor rgb="FFFF8080"/>
      <rgbColor rgb="FF0066CC"/>
      <rgbColor rgb="FFC9D7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A0"/>
      <rgbColor rgb="FFD9E1F2"/>
      <rgbColor rgb="FFE2EFDA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BF8F00"/>
      <rgbColor rgb="FFED7D31"/>
      <rgbColor rgb="FF737373"/>
      <rgbColor rgb="FFA6A6A6"/>
      <rgbColor rgb="FF003366"/>
      <rgbColor rgb="FF70AD47"/>
      <rgbColor rgb="FF003300"/>
      <rgbColor rgb="FF333300"/>
      <rgbColor rgb="FFC55A11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Leveraged FCFE by Year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1f4e7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 Forma Financials'!$B$4:$G$4</c:f>
              <c:strCache>
                <c:ptCount val="6"/>
                <c:pt idx="0">
                  <c:v>Year 0</c:v>
                </c:pt>
                <c:pt idx="1">
                  <c:v>Year 1</c:v>
                </c:pt>
                <c:pt idx="2">
                  <c:v>Year 2</c:v>
                </c:pt>
                <c:pt idx="3">
                  <c:v>Year 3</c:v>
                </c:pt>
                <c:pt idx="4">
                  <c:v>Year 4</c:v>
                </c:pt>
                <c:pt idx="5">
                  <c:v>Year 5</c:v>
                </c:pt>
              </c:strCache>
            </c:strRef>
          </c:cat>
          <c:val>
            <c:numRef>
              <c:f>'Pro Forma Financials'!$B$29:$G$29</c:f>
              <c:numCache>
                <c:formatCode>\$#,##0</c:formatCode>
                <c:ptCount val="6"/>
                <c:pt idx="0">
                  <c:v>-67023440</c:v>
                </c:pt>
                <c:pt idx="1">
                  <c:v>-3748267.8575959</c:v>
                </c:pt>
                <c:pt idx="2">
                  <c:v>5823148.96570393</c:v>
                </c:pt>
                <c:pt idx="3">
                  <c:v>7080902.40243621</c:v>
                </c:pt>
                <c:pt idx="4">
                  <c:v>8431626.85238719</c:v>
                </c:pt>
                <c:pt idx="5">
                  <c:v>43084250.8656978</c:v>
                </c:pt>
              </c:numCache>
            </c:numRef>
          </c:val>
        </c:ser>
        <c:gapWidth val="60"/>
        <c:overlap val="0"/>
        <c:axId val="68827581"/>
        <c:axId val="37916503"/>
      </c:barChart>
      <c:catAx>
        <c:axId val="688275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916503"/>
        <c:crosses val="autoZero"/>
        <c:auto val="1"/>
        <c:lblAlgn val="ctr"/>
        <c:lblOffset val="100"/>
        <c:noMultiLvlLbl val="0"/>
      </c:catAx>
      <c:valAx>
        <c:axId val="379165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82758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Campus Expansion — Cumulative Funding Position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c55a11"/>
            </a:solidFill>
            <a:ln w="28080">
              <a:solidFill>
                <a:srgbClr val="c55a1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'Phased Expansion'!$B$4:$F$4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'Phased Expansion'!$B$14:$F$14</c:f>
              <c:numCache>
                <c:formatCode>\$#,##0</c:formatCode>
                <c:ptCount val="5"/>
                <c:pt idx="0">
                  <c:v>-543630019.515064</c:v>
                </c:pt>
                <c:pt idx="1">
                  <c:v>-946588505.157977</c:v>
                </c:pt>
                <c:pt idx="2">
                  <c:v>-1752505476.4438</c:v>
                </c:pt>
                <c:pt idx="3">
                  <c:v>-2277079379.98533</c:v>
                </c:pt>
                <c:pt idx="4">
                  <c:v>-2520310215.78255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7053795"/>
        <c:axId val="63966406"/>
      </c:lineChart>
      <c:catAx>
        <c:axId val="970537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966406"/>
        <c:crosses val="autoZero"/>
        <c:auto val="1"/>
        <c:lblAlgn val="ctr"/>
        <c:lblOffset val="100"/>
        <c:noMultiLvlLbl val="0"/>
      </c:catAx>
      <c:valAx>
        <c:axId val="6396640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05379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8</xdr:col>
      <xdr:colOff>81720</xdr:colOff>
      <xdr:row>16</xdr:row>
      <xdr:rowOff>70560</xdr:rowOff>
    </xdr:to>
    <xdr:graphicFrame>
      <xdr:nvGraphicFramePr>
        <xdr:cNvPr id="0" name="Chart 1"/>
        <xdr:cNvGraphicFramePr/>
      </xdr:nvGraphicFramePr>
      <xdr:xfrm>
        <a:off x="10578960" y="895320"/>
        <a:ext cx="3815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18</xdr:row>
      <xdr:rowOff>0</xdr:rowOff>
    </xdr:from>
    <xdr:to>
      <xdr:col>8</xdr:col>
      <xdr:colOff>81720</xdr:colOff>
      <xdr:row>30</xdr:row>
      <xdr:rowOff>70560</xdr:rowOff>
    </xdr:to>
    <xdr:graphicFrame>
      <xdr:nvGraphicFramePr>
        <xdr:cNvPr id="1" name="Chart 2"/>
        <xdr:cNvGraphicFramePr/>
      </xdr:nvGraphicFramePr>
      <xdr:xfrm>
        <a:off x="10578960" y="3581280"/>
        <a:ext cx="3815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K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7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11" min="5" style="0" width="14"/>
  </cols>
  <sheetData>
    <row r="1" customFormat="false" ht="25.5" hidden="false" customHeight="true" outlineLevel="0" collapsed="false">
      <c r="A1" s="1" t="str">
        <f aca="false">"AI FACTORY DASHBOARD — "&amp;TEXT('Control Panel &amp; Inputs'!$C$19,"0")&amp;"x "&amp;UPPER('Control Panel &amp; Inputs'!$C$12)&amp;" · "&amp;UPPER('Control Panel &amp; Inputs'!$C$5)</f>
        <v>AI FACTORY DASHBOARD — 32x VERA RUBIN NVL72 · ABU DHABI, UAE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true" outlineLevel="0" collapsed="false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3" t="s">
        <v>1</v>
      </c>
      <c r="B4" s="3" t="s">
        <v>2</v>
      </c>
      <c r="C4" s="3" t="s">
        <v>3</v>
      </c>
      <c r="D4" s="3" t="s">
        <v>4</v>
      </c>
    </row>
    <row r="5" customFormat="false" ht="15.75" hidden="false" customHeight="true" outlineLevel="0" collapsed="false">
      <c r="A5" s="4" t="s">
        <v>5</v>
      </c>
      <c r="B5" s="5"/>
      <c r="C5" s="5"/>
      <c r="D5" s="5"/>
    </row>
    <row r="6" customFormat="false" ht="15" hidden="false" customHeight="false" outlineLevel="0" collapsed="false">
      <c r="A6" s="6" t="s">
        <v>6</v>
      </c>
      <c r="B6" s="7" t="n">
        <f aca="false">'Pro Forma Financials'!B36</f>
        <v>-0.0214572858678818</v>
      </c>
      <c r="C6" s="8" t="s">
        <v>7</v>
      </c>
      <c r="D6" s="8" t="s">
        <v>8</v>
      </c>
    </row>
    <row r="7" customFormat="false" ht="15" hidden="false" customHeight="false" outlineLevel="0" collapsed="false">
      <c r="A7" s="6" t="s">
        <v>9</v>
      </c>
      <c r="B7" s="7" t="n">
        <f aca="false">'Pro Forma Financials'!B37</f>
        <v>0.0413579090753861</v>
      </c>
      <c r="C7" s="8" t="s">
        <v>7</v>
      </c>
      <c r="D7" s="8" t="s">
        <v>8</v>
      </c>
    </row>
    <row r="8" customFormat="false" ht="15" hidden="false" customHeight="false" outlineLevel="0" collapsed="false">
      <c r="A8" s="6" t="s">
        <v>10</v>
      </c>
      <c r="B8" s="9" t="n">
        <f aca="false">'Pro Forma Financials'!B38</f>
        <v>-34982560.663758</v>
      </c>
      <c r="C8" s="8" t="s">
        <v>11</v>
      </c>
      <c r="D8" s="8" t="s">
        <v>8</v>
      </c>
    </row>
    <row r="9" customFormat="false" ht="15" hidden="false" customHeight="false" outlineLevel="0" collapsed="false">
      <c r="A9" s="6" t="s">
        <v>12</v>
      </c>
      <c r="B9" s="10" t="n">
        <f aca="false">'Pro Forma Financials'!B39</f>
        <v>0.905230486955449</v>
      </c>
      <c r="C9" s="8" t="s">
        <v>13</v>
      </c>
      <c r="D9" s="8" t="s">
        <v>8</v>
      </c>
    </row>
    <row r="10" customFormat="false" ht="15" hidden="false" customHeight="false" outlineLevel="0" collapsed="false">
      <c r="A10" s="6" t="s">
        <v>14</v>
      </c>
      <c r="B10" s="11" t="str">
        <f aca="false">'Pro Forma Financials'!B40</f>
        <v>&gt;5 yrs</v>
      </c>
      <c r="C10" s="8" t="s">
        <v>15</v>
      </c>
      <c r="D10" s="8" t="s">
        <v>8</v>
      </c>
    </row>
    <row r="11" customFormat="false" ht="15" hidden="false" customHeight="false" outlineLevel="0" collapsed="false">
      <c r="A11" s="6" t="s">
        <v>16</v>
      </c>
      <c r="B11" s="10" t="n">
        <f aca="false">'Pro Forma Financials'!B41</f>
        <v>0.941898686248985</v>
      </c>
      <c r="C11" s="8" t="s">
        <v>13</v>
      </c>
      <c r="D11" s="8" t="s">
        <v>8</v>
      </c>
    </row>
    <row r="12" customFormat="false" ht="15.75" hidden="false" customHeight="true" outlineLevel="0" collapsed="false">
      <c r="A12" s="4" t="s">
        <v>17</v>
      </c>
      <c r="B12" s="5"/>
      <c r="C12" s="5"/>
      <c r="D12" s="5"/>
    </row>
    <row r="13" customFormat="false" ht="15" hidden="false" customHeight="false" outlineLevel="0" collapsed="false">
      <c r="A13" s="6" t="s">
        <v>18</v>
      </c>
      <c r="B13" s="9" t="n">
        <f aca="false">'Pro Forma Financials'!C$8</f>
        <v>75607223.7909197</v>
      </c>
      <c r="C13" s="8" t="s">
        <v>11</v>
      </c>
      <c r="D13" s="8" t="s">
        <v>8</v>
      </c>
    </row>
    <row r="14" customFormat="false" ht="15" hidden="false" customHeight="false" outlineLevel="0" collapsed="false">
      <c r="A14" s="6" t="s">
        <v>19</v>
      </c>
      <c r="B14" s="9" t="n">
        <f aca="false">'Pro Forma Financials'!C$14</f>
        <v>60764350.1127757</v>
      </c>
      <c r="C14" s="8" t="s">
        <v>11</v>
      </c>
      <c r="D14" s="8" t="s">
        <v>8</v>
      </c>
    </row>
    <row r="15" customFormat="false" ht="15" hidden="false" customHeight="false" outlineLevel="0" collapsed="false">
      <c r="A15" s="6" t="s">
        <v>20</v>
      </c>
      <c r="B15" s="7" t="n">
        <f aca="false">'Pro Forma Financials'!C$15</f>
        <v>0.803684450586498</v>
      </c>
      <c r="C15" s="8" t="s">
        <v>7</v>
      </c>
      <c r="D15" s="8" t="s">
        <v>8</v>
      </c>
    </row>
    <row r="16" customFormat="false" ht="15" hidden="false" customHeight="false" outlineLevel="0" collapsed="false">
      <c r="A16" s="6" t="s">
        <v>21</v>
      </c>
      <c r="B16" s="12" t="n">
        <f aca="false">'Thermal Hydraulics &amp; MLC'!$B$23</f>
        <v>0.0778315585672798</v>
      </c>
      <c r="C16" s="8" t="s">
        <v>22</v>
      </c>
      <c r="D16" s="8" t="s">
        <v>23</v>
      </c>
    </row>
    <row r="17" customFormat="false" ht="15" hidden="false" customHeight="false" outlineLevel="0" collapsed="false">
      <c r="A17" s="6" t="s">
        <v>24</v>
      </c>
      <c r="B17" s="12" t="n">
        <f aca="false">'Control Panel &amp; Inputs'!$C$7</f>
        <v>0.26</v>
      </c>
      <c r="C17" s="8" t="s">
        <v>25</v>
      </c>
      <c r="D17" s="8" t="s">
        <v>26</v>
      </c>
    </row>
    <row r="18" customFormat="false" ht="15" hidden="false" customHeight="false" outlineLevel="0" collapsed="false">
      <c r="A18" s="6" t="s">
        <v>27</v>
      </c>
      <c r="B18" s="7" t="n">
        <f aca="false">'Thermal Hydraulics &amp; MLC'!$B$25</f>
        <v>0.700647851664309</v>
      </c>
      <c r="C18" s="8" t="s">
        <v>7</v>
      </c>
      <c r="D18" s="8" t="s">
        <v>23</v>
      </c>
    </row>
    <row r="19" customFormat="false" ht="15" hidden="false" customHeight="false" outlineLevel="0" collapsed="false">
      <c r="A19" s="6" t="s">
        <v>28</v>
      </c>
      <c r="B19" s="13" t="str">
        <f aca="false">'Control Panel &amp; Inputs'!$C$5&amp;"  (zone "&amp;'Control Panel &amp; Inputs'!$C$6&amp;")"</f>
        <v>Abu Dhabi, UAE  (zone 1A)</v>
      </c>
      <c r="C19" s="8"/>
      <c r="D19" s="8" t="s">
        <v>26</v>
      </c>
    </row>
    <row r="20" customFormat="false" ht="15.75" hidden="false" customHeight="true" outlineLevel="0" collapsed="false">
      <c r="A20" s="4" t="s">
        <v>29</v>
      </c>
      <c r="B20" s="5"/>
      <c r="C20" s="5"/>
      <c r="D20" s="5"/>
    </row>
    <row r="21" customFormat="false" ht="15" hidden="false" customHeight="false" outlineLevel="0" collapsed="false">
      <c r="A21" s="6" t="s">
        <v>30</v>
      </c>
      <c r="B21" s="14" t="n">
        <f aca="false">'Thermal Hydraulics &amp; MLC'!$B$28</f>
        <v>66124.1613024</v>
      </c>
      <c r="C21" s="8" t="s">
        <v>31</v>
      </c>
      <c r="D21" s="8" t="s">
        <v>23</v>
      </c>
    </row>
    <row r="22" customFormat="false" ht="15" hidden="false" customHeight="false" outlineLevel="0" collapsed="false">
      <c r="A22" s="6" t="s">
        <v>32</v>
      </c>
      <c r="B22" s="14" t="n">
        <f aca="false">'Thermal Hydraulics &amp; MLC'!$B$30</f>
        <v>25788.422907936</v>
      </c>
      <c r="C22" s="8" t="s">
        <v>33</v>
      </c>
      <c r="D22" s="8" t="s">
        <v>23</v>
      </c>
    </row>
    <row r="23" customFormat="false" ht="15" hidden="false" customHeight="false" outlineLevel="0" collapsed="false">
      <c r="A23" s="6" t="s">
        <v>34</v>
      </c>
      <c r="B23" s="14" t="n">
        <f aca="false">'Thermal Hydraulics &amp; MLC'!$B$29</f>
        <v>9918.62419536</v>
      </c>
      <c r="C23" s="8" t="s">
        <v>35</v>
      </c>
      <c r="D23" s="8" t="s">
        <v>23</v>
      </c>
    </row>
    <row r="24" customFormat="false" ht="15.75" hidden="false" customHeight="true" outlineLevel="0" collapsed="false">
      <c r="A24" s="4" t="s">
        <v>36</v>
      </c>
      <c r="B24" s="5"/>
      <c r="C24" s="5"/>
      <c r="D24" s="5"/>
    </row>
    <row r="25" customFormat="false" ht="15" hidden="false" customHeight="false" outlineLevel="0" collapsed="false">
      <c r="A25" s="6" t="s">
        <v>37</v>
      </c>
      <c r="B25" s="14" t="n">
        <f aca="false">'Unit Economics &amp; KPIs'!B5</f>
        <v>2304</v>
      </c>
      <c r="C25" s="8" t="s">
        <v>38</v>
      </c>
      <c r="D25" s="8" t="s">
        <v>39</v>
      </c>
    </row>
    <row r="26" customFormat="false" ht="15" hidden="false" customHeight="false" outlineLevel="0" collapsed="false">
      <c r="A26" s="6" t="s">
        <v>40</v>
      </c>
      <c r="B26" s="9" t="n">
        <f aca="false">'Unit Economics &amp; KPIs'!B11</f>
        <v>145450.173611111</v>
      </c>
      <c r="C26" s="8" t="s">
        <v>41</v>
      </c>
      <c r="D26" s="8" t="s">
        <v>39</v>
      </c>
    </row>
    <row r="27" customFormat="false" ht="15" hidden="false" customHeight="false" outlineLevel="0" collapsed="false">
      <c r="A27" s="6" t="s">
        <v>42</v>
      </c>
      <c r="B27" s="15" t="n">
        <f aca="false">'Unit Economics &amp; KPIs'!B8</f>
        <v>5.01378</v>
      </c>
      <c r="C27" s="8" t="s">
        <v>43</v>
      </c>
      <c r="D27" s="8" t="s">
        <v>39</v>
      </c>
    </row>
    <row r="28" customFormat="false" ht="15" hidden="false" customHeight="false" outlineLevel="0" collapsed="false">
      <c r="A28" s="6" t="s">
        <v>44</v>
      </c>
      <c r="B28" s="15" t="n">
        <f aca="false">'Unit Economics &amp; KPIs'!B16</f>
        <v>0.137855187976494</v>
      </c>
      <c r="C28" s="8" t="s">
        <v>45</v>
      </c>
      <c r="D28" s="8" t="s">
        <v>39</v>
      </c>
    </row>
    <row r="29" customFormat="false" ht="15" hidden="false" customHeight="false" outlineLevel="0" collapsed="false">
      <c r="A29" s="6" t="s">
        <v>46</v>
      </c>
      <c r="B29" s="7" t="n">
        <f aca="false">'Unit Economics &amp; KPIs'!B17</f>
        <v>0.0472843842370427</v>
      </c>
      <c r="C29" s="8" t="s">
        <v>7</v>
      </c>
      <c r="D29" s="8" t="s">
        <v>39</v>
      </c>
    </row>
    <row r="30" customFormat="false" ht="15" hidden="false" customHeight="false" outlineLevel="0" collapsed="false">
      <c r="A30" s="6" t="s">
        <v>47</v>
      </c>
      <c r="B30" s="16" t="n">
        <f aca="false">'Unit Economics &amp; KPIs'!B18</f>
        <v>1.12489238642461</v>
      </c>
      <c r="C30" s="8" t="s">
        <v>48</v>
      </c>
      <c r="D30" s="8" t="s">
        <v>39</v>
      </c>
    </row>
    <row r="31" customFormat="false" ht="15.75" hidden="false" customHeight="true" outlineLevel="0" collapsed="false">
      <c r="A31" s="4" t="s">
        <v>49</v>
      </c>
      <c r="B31" s="5"/>
      <c r="C31" s="5"/>
      <c r="D31" s="5"/>
    </row>
    <row r="32" customFormat="false" ht="15" hidden="false" customHeight="false" outlineLevel="0" collapsed="false">
      <c r="A32" s="6" t="s">
        <v>50</v>
      </c>
      <c r="B32" s="17" t="n">
        <f aca="false">'Phased Expansion'!B19</f>
        <v>132.224</v>
      </c>
      <c r="C32" s="8" t="s">
        <v>51</v>
      </c>
      <c r="D32" s="8" t="s">
        <v>52</v>
      </c>
    </row>
    <row r="33" customFormat="false" ht="15" hidden="false" customHeight="false" outlineLevel="0" collapsed="false">
      <c r="A33" s="6" t="s">
        <v>53</v>
      </c>
      <c r="B33" s="14" t="n">
        <f aca="false">'Phased Expansion'!B20</f>
        <v>36864</v>
      </c>
      <c r="C33" s="8" t="s">
        <v>38</v>
      </c>
      <c r="D33" s="8" t="s">
        <v>52</v>
      </c>
    </row>
    <row r="34" customFormat="false" ht="15" hidden="false" customHeight="false" outlineLevel="0" collapsed="false">
      <c r="A34" s="6" t="s">
        <v>54</v>
      </c>
      <c r="B34" s="9" t="n">
        <f aca="false">'Phased Expansion'!B22</f>
        <v>5361875200</v>
      </c>
      <c r="C34" s="8" t="s">
        <v>11</v>
      </c>
      <c r="D34" s="8" t="s">
        <v>52</v>
      </c>
    </row>
    <row r="35" customFormat="false" ht="15" hidden="false" customHeight="false" outlineLevel="0" collapsed="false">
      <c r="A35" s="6" t="s">
        <v>55</v>
      </c>
      <c r="B35" s="9" t="n">
        <f aca="false">'Phased Expansion'!B17</f>
        <v>-2520310215.78255</v>
      </c>
      <c r="C35" s="8" t="s">
        <v>11</v>
      </c>
      <c r="D35" s="8" t="s">
        <v>52</v>
      </c>
    </row>
    <row r="36" customFormat="false" ht="15" hidden="false" customHeight="false" outlineLevel="0" collapsed="false">
      <c r="A36" s="6" t="s">
        <v>56</v>
      </c>
      <c r="B36" s="9" t="n">
        <f aca="false">'Phased Expansion'!B21</f>
        <v>1125372270.97721</v>
      </c>
      <c r="C36" s="8" t="s">
        <v>57</v>
      </c>
      <c r="D36" s="8" t="s">
        <v>52</v>
      </c>
    </row>
  </sheetData>
  <mergeCells count="2">
    <mergeCell ref="A1:K1"/>
    <mergeCell ref="A2:K2"/>
  </mergeCells>
  <conditionalFormatting sqref="B11">
    <cfRule type="cellIs" priority="2" operator="lessThan" aboveAverage="0" equalAverage="0" bottom="0" percent="0" rank="0" text="" dxfId="0">
      <formula>1</formula>
    </cfRule>
  </conditionalFormatting>
  <conditionalFormatting sqref="B6">
    <cfRule type="cellIs" priority="3" operator="lessThan" aboveAverage="0" equalAverage="0" bottom="0" percent="0" rank="0" text="" dxfId="1">
      <formula>'Control Panel &amp; Inputs'!$C$53</formula>
    </cfRule>
  </conditionalFormatting>
  <conditionalFormatting sqref="B8">
    <cfRule type="cellIs" priority="4" operator="lessThan" aboveAverage="0" equalAverage="0" bottom="0" percent="0" rank="0" text="" dxfId="1">
      <formula>0</formula>
    </cfRule>
  </conditionalFormatting>
  <conditionalFormatting sqref="B16">
    <cfRule type="cellIs" priority="5" operator="greaterThan" aboveAverage="0" equalAverage="0" bottom="0" percent="0" rank="0" text="" dxfId="0">
      <formula>'Control Panel &amp; Inputs'!$C$7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E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9"/>
    <col collapsed="false" customWidth="true" hidden="false" outlineLevel="0" max="3" min="3" style="0" width="31"/>
    <col collapsed="false" customWidth="true" hidden="false" outlineLevel="0" max="4" min="4" style="0" width="14"/>
    <col collapsed="false" customWidth="true" hidden="false" outlineLevel="0" max="5" min="5" style="0" width="44"/>
  </cols>
  <sheetData>
    <row r="1" customFormat="false" ht="25.5" hidden="false" customHeight="true" outlineLevel="0" collapsed="false">
      <c r="A1" s="1" t="str">
        <f aca="false">"AI FACTORY CONTROL PANEL — "&amp;TEXT($C$19,"0")&amp;"x "&amp;UPPER($C$12)&amp;" — "&amp;UPPER($C$5)</f>
        <v>AI FACTORY CONTROL PANEL — 32x VERA RUBIN NVL72 — ABU DHABI, UAE</v>
      </c>
      <c r="B1" s="1"/>
      <c r="C1" s="1"/>
      <c r="D1" s="1"/>
      <c r="E1" s="1"/>
    </row>
    <row r="2" customFormat="false" ht="15" hidden="false" customHeight="true" outlineLevel="0" collapsed="false">
      <c r="A2" s="2" t="s">
        <v>58</v>
      </c>
      <c r="B2" s="2"/>
      <c r="C2" s="2"/>
      <c r="D2" s="2"/>
      <c r="E2" s="2"/>
    </row>
    <row r="4" customFormat="false" ht="15" hidden="false" customHeight="false" outlineLevel="0" collapsed="false">
      <c r="A4" s="3" t="s">
        <v>59</v>
      </c>
      <c r="B4" s="3" t="s">
        <v>60</v>
      </c>
      <c r="C4" s="3" t="s">
        <v>2</v>
      </c>
      <c r="D4" s="3" t="s">
        <v>3</v>
      </c>
      <c r="E4" s="3" t="s">
        <v>61</v>
      </c>
    </row>
    <row r="5" customFormat="false" ht="15" hidden="false" customHeight="false" outlineLevel="0" collapsed="false">
      <c r="A5" s="18" t="s">
        <v>62</v>
      </c>
      <c r="B5" s="18" t="s">
        <v>63</v>
      </c>
      <c r="C5" s="19" t="s">
        <v>64</v>
      </c>
      <c r="D5" s="18"/>
      <c r="E5" s="18" t="s">
        <v>65</v>
      </c>
    </row>
    <row r="6" customFormat="false" ht="15" hidden="false" customHeight="false" outlineLevel="0" collapsed="false">
      <c r="A6" s="6" t="s">
        <v>62</v>
      </c>
      <c r="B6" s="6" t="s">
        <v>66</v>
      </c>
      <c r="C6" s="20" t="str">
        <f aca="false">INDEX('ASHRAE Climate Library'!$B$5:$B$19,MATCH($C$5,'ASHRAE Climate Library'!$A$5:$A$19,0))</f>
        <v>1A</v>
      </c>
      <c r="D6" s="6"/>
      <c r="E6" s="6" t="s">
        <v>67</v>
      </c>
    </row>
    <row r="7" customFormat="false" ht="15" hidden="false" customHeight="false" outlineLevel="0" collapsed="false">
      <c r="A7" s="18" t="s">
        <v>62</v>
      </c>
      <c r="B7" s="18" t="s">
        <v>68</v>
      </c>
      <c r="C7" s="21" t="n">
        <f aca="false">INDEX('ASHRAE Climate Library'!$C$5:$C$19,MATCH($C$5,'ASHRAE Climate Library'!$A$5:$A$19,0))</f>
        <v>0.26</v>
      </c>
      <c r="D7" s="18"/>
      <c r="E7" s="18" t="s">
        <v>69</v>
      </c>
    </row>
    <row r="8" customFormat="false" ht="15" hidden="false" customHeight="false" outlineLevel="0" collapsed="false">
      <c r="A8" s="6" t="s">
        <v>62</v>
      </c>
      <c r="B8" s="6" t="s">
        <v>70</v>
      </c>
      <c r="C8" s="22" t="n">
        <f aca="false">INDEX('ASHRAE Climate Library'!$D$5:$D$19,MATCH($C$5,'ASHRAE Climate Library'!$A$5:$A$19,0))</f>
        <v>50</v>
      </c>
      <c r="D8" s="6" t="s">
        <v>71</v>
      </c>
      <c r="E8" s="6" t="s">
        <v>72</v>
      </c>
    </row>
    <row r="9" customFormat="false" ht="15" hidden="false" customHeight="false" outlineLevel="0" collapsed="false">
      <c r="A9" s="18" t="s">
        <v>62</v>
      </c>
      <c r="B9" s="18" t="s">
        <v>73</v>
      </c>
      <c r="C9" s="23" t="n">
        <f aca="false">INDEX('ASHRAE Climate Library'!$E$5:$E$19,MATCH($C$5,'ASHRAE Climate Library'!$A$5:$A$19,0))</f>
        <v>30</v>
      </c>
      <c r="D9" s="18" t="s">
        <v>71</v>
      </c>
      <c r="E9" s="18" t="s">
        <v>74</v>
      </c>
    </row>
    <row r="10" customFormat="false" ht="15" hidden="false" customHeight="false" outlineLevel="0" collapsed="false">
      <c r="A10" s="6" t="s">
        <v>62</v>
      </c>
      <c r="B10" s="6" t="s">
        <v>75</v>
      </c>
      <c r="C10" s="24" t="n">
        <v>0.39</v>
      </c>
      <c r="D10" s="6" t="s">
        <v>76</v>
      </c>
      <c r="E10" s="6" t="s">
        <v>77</v>
      </c>
    </row>
    <row r="11" customFormat="false" ht="15" hidden="false" customHeight="false" outlineLevel="0" collapsed="false">
      <c r="A11" s="18" t="s">
        <v>62</v>
      </c>
      <c r="B11" s="18" t="s">
        <v>78</v>
      </c>
      <c r="C11" s="24" t="n">
        <v>0.15</v>
      </c>
      <c r="D11" s="18" t="s">
        <v>79</v>
      </c>
      <c r="E11" s="18" t="s">
        <v>80</v>
      </c>
    </row>
    <row r="12" customFormat="false" ht="15" hidden="false" customHeight="false" outlineLevel="0" collapsed="false">
      <c r="A12" s="6" t="s">
        <v>81</v>
      </c>
      <c r="B12" s="6" t="s">
        <v>82</v>
      </c>
      <c r="C12" s="19" t="s">
        <v>83</v>
      </c>
      <c r="D12" s="6"/>
      <c r="E12" s="6" t="s">
        <v>84</v>
      </c>
    </row>
    <row r="13" customFormat="false" ht="15" hidden="false" customHeight="false" outlineLevel="0" collapsed="false">
      <c r="A13" s="18" t="s">
        <v>81</v>
      </c>
      <c r="B13" s="18" t="s">
        <v>85</v>
      </c>
      <c r="C13" s="23" t="n">
        <f aca="false">INDEX('Rack Type Library'!$D$5:$D$13,MATCH($C$12,'Rack Type Library'!$A$5:$A$13,0))</f>
        <v>227</v>
      </c>
      <c r="D13" s="18" t="s">
        <v>86</v>
      </c>
      <c r="E13" s="18" t="s">
        <v>87</v>
      </c>
    </row>
    <row r="14" customFormat="false" ht="15" hidden="false" customHeight="false" outlineLevel="0" collapsed="false">
      <c r="A14" s="6" t="s">
        <v>81</v>
      </c>
      <c r="B14" s="6" t="s">
        <v>88</v>
      </c>
      <c r="C14" s="25" t="n">
        <f aca="false">INDEX('Rack Type Library'!$C$5:$C$13,MATCH($C$12,'Rack Type Library'!$A$5:$A$13,0))</f>
        <v>72</v>
      </c>
      <c r="D14" s="6" t="s">
        <v>38</v>
      </c>
      <c r="E14" s="6" t="s">
        <v>89</v>
      </c>
    </row>
    <row r="15" customFormat="false" ht="15" hidden="false" customHeight="false" outlineLevel="0" collapsed="false">
      <c r="A15" s="18" t="s">
        <v>81</v>
      </c>
      <c r="B15" s="18" t="s">
        <v>90</v>
      </c>
      <c r="C15" s="26" t="n">
        <f aca="false">INDEX('Rack Type Library'!$E$5:$E$13,MATCH($C$12,'Rack Type Library'!$A$5:$A$13,0))</f>
        <v>2300</v>
      </c>
      <c r="D15" s="18" t="s">
        <v>91</v>
      </c>
      <c r="E15" s="18" t="s">
        <v>92</v>
      </c>
    </row>
    <row r="16" customFormat="false" ht="15" hidden="false" customHeight="false" outlineLevel="0" collapsed="false">
      <c r="A16" s="6" t="s">
        <v>81</v>
      </c>
      <c r="B16" s="6" t="s">
        <v>93</v>
      </c>
      <c r="C16" s="20" t="str">
        <f aca="false">INDEX('Rack Type Library'!$F$5:$F$13,MATCH($C$12,'Rack Type Library'!$A$5:$A$13,0))</f>
        <v>Liquid</v>
      </c>
      <c r="D16" s="6" t="s">
        <v>94</v>
      </c>
      <c r="E16" s="6" t="s">
        <v>89</v>
      </c>
    </row>
    <row r="17" customFormat="false" ht="15" hidden="false" customHeight="false" outlineLevel="0" collapsed="false">
      <c r="A17" s="18" t="s">
        <v>81</v>
      </c>
      <c r="B17" s="18" t="s">
        <v>95</v>
      </c>
      <c r="C17" s="23" t="n">
        <f aca="false">INDEX('Rack Type Library'!$G$5:$G$13,MATCH($C$12,'Rack Type Library'!$A$5:$A$13,0))</f>
        <v>343.462362879839</v>
      </c>
      <c r="D17" s="18" t="s">
        <v>96</v>
      </c>
      <c r="E17" s="18" t="s">
        <v>97</v>
      </c>
    </row>
    <row r="18" customFormat="false" ht="15" hidden="false" customHeight="false" outlineLevel="0" collapsed="false">
      <c r="A18" s="6" t="s">
        <v>81</v>
      </c>
      <c r="B18" s="6" t="s">
        <v>98</v>
      </c>
      <c r="C18" s="27" t="n">
        <f aca="false">INDEX('Rack Type Library'!$H$5:$H$13,MATCH($C$12,'Rack Type Library'!$A$5:$A$13,0))</f>
        <v>7.4</v>
      </c>
      <c r="D18" s="6" t="s">
        <v>99</v>
      </c>
      <c r="E18" s="6" t="s">
        <v>100</v>
      </c>
    </row>
    <row r="19" customFormat="false" ht="15" hidden="false" customHeight="false" outlineLevel="0" collapsed="false">
      <c r="A19" s="18" t="s">
        <v>81</v>
      </c>
      <c r="B19" s="18" t="s">
        <v>101</v>
      </c>
      <c r="C19" s="28" t="n">
        <v>32</v>
      </c>
      <c r="D19" s="18" t="s">
        <v>102</v>
      </c>
      <c r="E19" s="18" t="s">
        <v>103</v>
      </c>
    </row>
    <row r="20" customFormat="false" ht="15" hidden="false" customHeight="false" outlineLevel="0" collapsed="false">
      <c r="A20" s="6" t="s">
        <v>81</v>
      </c>
      <c r="B20" s="6" t="s">
        <v>104</v>
      </c>
      <c r="C20" s="19" t="s">
        <v>105</v>
      </c>
      <c r="D20" s="6"/>
      <c r="E20" s="6" t="s">
        <v>106</v>
      </c>
    </row>
    <row r="21" customFormat="false" ht="15" hidden="false" customHeight="false" outlineLevel="0" collapsed="false">
      <c r="A21" s="18" t="s">
        <v>81</v>
      </c>
      <c r="B21" s="18" t="s">
        <v>107</v>
      </c>
      <c r="C21" s="23" t="n">
        <f aca="false">INDEX('Rack Type Library'!$D$5:$D$13,MATCH($C$20,'Rack Type Library'!$A$5:$A$13,0))</f>
        <v>100</v>
      </c>
      <c r="D21" s="18" t="s">
        <v>86</v>
      </c>
      <c r="E21" s="18" t="s">
        <v>89</v>
      </c>
    </row>
    <row r="22" customFormat="false" ht="15" hidden="false" customHeight="false" outlineLevel="0" collapsed="false">
      <c r="A22" s="6" t="s">
        <v>81</v>
      </c>
      <c r="B22" s="6" t="s">
        <v>108</v>
      </c>
      <c r="C22" s="20" t="str">
        <f aca="false">INDEX('Rack Type Library'!$F$5:$F$13,MATCH($C$20,'Rack Type Library'!$A$5:$A$13,0))</f>
        <v>Air</v>
      </c>
      <c r="D22" s="6" t="s">
        <v>94</v>
      </c>
      <c r="E22" s="6" t="s">
        <v>89</v>
      </c>
    </row>
    <row r="23" customFormat="false" ht="15" hidden="false" customHeight="false" outlineLevel="0" collapsed="false">
      <c r="A23" s="18" t="s">
        <v>81</v>
      </c>
      <c r="B23" s="18" t="s">
        <v>109</v>
      </c>
      <c r="C23" s="29" t="n">
        <f aca="false">INDEX('Rack Type Library'!$H$5:$H$13,MATCH($C$20,'Rack Type Library'!$A$5:$A$13,0))</f>
        <v>0.5</v>
      </c>
      <c r="D23" s="18" t="s">
        <v>99</v>
      </c>
      <c r="E23" s="18" t="s">
        <v>89</v>
      </c>
    </row>
    <row r="24" customFormat="false" ht="15" hidden="false" customHeight="false" outlineLevel="0" collapsed="false">
      <c r="A24" s="6" t="s">
        <v>81</v>
      </c>
      <c r="B24" s="6" t="s">
        <v>110</v>
      </c>
      <c r="C24" s="28" t="n">
        <v>6</v>
      </c>
      <c r="D24" s="6" t="s">
        <v>102</v>
      </c>
      <c r="E24" s="6" t="s">
        <v>111</v>
      </c>
    </row>
    <row r="25" customFormat="false" ht="15" hidden="false" customHeight="false" outlineLevel="0" collapsed="false">
      <c r="A25" s="18" t="s">
        <v>81</v>
      </c>
      <c r="B25" s="18" t="s">
        <v>112</v>
      </c>
      <c r="C25" s="19" t="s">
        <v>113</v>
      </c>
      <c r="D25" s="18"/>
      <c r="E25" s="18" t="s">
        <v>106</v>
      </c>
    </row>
    <row r="26" customFormat="false" ht="15" hidden="false" customHeight="false" outlineLevel="0" collapsed="false">
      <c r="A26" s="6" t="s">
        <v>81</v>
      </c>
      <c r="B26" s="6" t="s">
        <v>114</v>
      </c>
      <c r="C26" s="22" t="n">
        <f aca="false">INDEX('Rack Type Library'!$D$5:$D$13,MATCH($C$25,'Rack Type Library'!$A$5:$A$13,0))</f>
        <v>40</v>
      </c>
      <c r="D26" s="6" t="s">
        <v>86</v>
      </c>
      <c r="E26" s="6" t="s">
        <v>89</v>
      </c>
    </row>
    <row r="27" customFormat="false" ht="15" hidden="false" customHeight="false" outlineLevel="0" collapsed="false">
      <c r="A27" s="18" t="s">
        <v>81</v>
      </c>
      <c r="B27" s="18" t="s">
        <v>115</v>
      </c>
      <c r="C27" s="30" t="str">
        <f aca="false">INDEX('Rack Type Library'!$F$5:$F$13,MATCH($C$25,'Rack Type Library'!$A$5:$A$13,0))</f>
        <v>Air</v>
      </c>
      <c r="D27" s="18" t="s">
        <v>94</v>
      </c>
      <c r="E27" s="18" t="s">
        <v>89</v>
      </c>
    </row>
    <row r="28" customFormat="false" ht="15" hidden="false" customHeight="false" outlineLevel="0" collapsed="false">
      <c r="A28" s="6" t="s">
        <v>81</v>
      </c>
      <c r="B28" s="6" t="s">
        <v>116</v>
      </c>
      <c r="C28" s="27" t="n">
        <f aca="false">INDEX('Rack Type Library'!$H$5:$H$13,MATCH($C$25,'Rack Type Library'!$A$5:$A$13,0))</f>
        <v>0.4</v>
      </c>
      <c r="D28" s="6" t="s">
        <v>99</v>
      </c>
      <c r="E28" s="6" t="s">
        <v>89</v>
      </c>
    </row>
    <row r="29" customFormat="false" ht="15" hidden="false" customHeight="false" outlineLevel="0" collapsed="false">
      <c r="A29" s="18" t="s">
        <v>81</v>
      </c>
      <c r="B29" s="18" t="s">
        <v>117</v>
      </c>
      <c r="C29" s="28" t="n">
        <v>10</v>
      </c>
      <c r="D29" s="18" t="s">
        <v>102</v>
      </c>
      <c r="E29" s="18" t="s">
        <v>118</v>
      </c>
    </row>
    <row r="30" customFormat="false" ht="15" hidden="false" customHeight="false" outlineLevel="0" collapsed="false">
      <c r="A30" s="6" t="s">
        <v>81</v>
      </c>
      <c r="B30" s="6" t="s">
        <v>119</v>
      </c>
      <c r="C30" s="31" t="n">
        <v>0.05</v>
      </c>
      <c r="D30" s="6" t="s">
        <v>120</v>
      </c>
      <c r="E30" s="6" t="s">
        <v>121</v>
      </c>
    </row>
    <row r="31" customFormat="false" ht="15" hidden="false" customHeight="false" outlineLevel="0" collapsed="false">
      <c r="A31" s="18" t="s">
        <v>81</v>
      </c>
      <c r="B31" s="18" t="s">
        <v>122</v>
      </c>
      <c r="C31" s="31" t="n">
        <v>0.28</v>
      </c>
      <c r="D31" s="18" t="s">
        <v>120</v>
      </c>
      <c r="E31" s="18" t="s">
        <v>123</v>
      </c>
    </row>
    <row r="32" customFormat="false" ht="15" hidden="false" customHeight="false" outlineLevel="0" collapsed="false">
      <c r="A32" s="6" t="s">
        <v>81</v>
      </c>
      <c r="B32" s="6" t="s">
        <v>124</v>
      </c>
      <c r="C32" s="32" t="n">
        <v>45</v>
      </c>
      <c r="D32" s="6" t="s">
        <v>71</v>
      </c>
      <c r="E32" s="6" t="s">
        <v>125</v>
      </c>
    </row>
    <row r="33" customFormat="false" ht="15" hidden="false" customHeight="false" outlineLevel="0" collapsed="false">
      <c r="A33" s="18" t="s">
        <v>81</v>
      </c>
      <c r="B33" s="18" t="s">
        <v>126</v>
      </c>
      <c r="C33" s="32" t="n">
        <v>55</v>
      </c>
      <c r="D33" s="18" t="s">
        <v>71</v>
      </c>
      <c r="E33" s="18" t="s">
        <v>127</v>
      </c>
    </row>
    <row r="34" customFormat="false" ht="15" hidden="false" customHeight="false" outlineLevel="0" collapsed="false">
      <c r="A34" s="6" t="s">
        <v>81</v>
      </c>
      <c r="B34" s="6" t="s">
        <v>128</v>
      </c>
      <c r="C34" s="33" t="n">
        <v>3.85</v>
      </c>
      <c r="D34" s="6" t="s">
        <v>129</v>
      </c>
      <c r="E34" s="6" t="s">
        <v>130</v>
      </c>
    </row>
    <row r="35" customFormat="false" ht="15" hidden="false" customHeight="false" outlineLevel="0" collapsed="false">
      <c r="A35" s="18" t="s">
        <v>81</v>
      </c>
      <c r="B35" s="18" t="s">
        <v>131</v>
      </c>
      <c r="C35" s="33" t="n">
        <v>1.03</v>
      </c>
      <c r="D35" s="18" t="s">
        <v>132</v>
      </c>
      <c r="E35" s="18" t="s">
        <v>133</v>
      </c>
    </row>
    <row r="36" customFormat="false" ht="15" hidden="false" customHeight="false" outlineLevel="0" collapsed="false">
      <c r="A36" s="6" t="s">
        <v>81</v>
      </c>
      <c r="B36" s="6" t="s">
        <v>134</v>
      </c>
      <c r="C36" s="24" t="n">
        <v>1.08</v>
      </c>
      <c r="D36" s="6"/>
      <c r="E36" s="6" t="s">
        <v>135</v>
      </c>
    </row>
    <row r="37" customFormat="false" ht="15" hidden="false" customHeight="false" outlineLevel="0" collapsed="false">
      <c r="A37" s="18" t="s">
        <v>81</v>
      </c>
      <c r="B37" s="18" t="s">
        <v>136</v>
      </c>
      <c r="C37" s="31" t="n">
        <v>0.85</v>
      </c>
      <c r="D37" s="18" t="s">
        <v>7</v>
      </c>
      <c r="E37" s="18" t="s">
        <v>137</v>
      </c>
    </row>
    <row r="38" customFormat="false" ht="15" hidden="false" customHeight="false" outlineLevel="0" collapsed="false">
      <c r="A38" s="6" t="s">
        <v>81</v>
      </c>
      <c r="B38" s="6" t="s">
        <v>138</v>
      </c>
      <c r="C38" s="34" t="n">
        <v>0.995</v>
      </c>
      <c r="D38" s="6" t="s">
        <v>7</v>
      </c>
      <c r="E38" s="6" t="s">
        <v>139</v>
      </c>
    </row>
    <row r="39" customFormat="false" ht="15" hidden="false" customHeight="false" outlineLevel="0" collapsed="false">
      <c r="A39" s="18" t="s">
        <v>81</v>
      </c>
      <c r="B39" s="18" t="s">
        <v>140</v>
      </c>
      <c r="C39" s="28" t="n">
        <v>1800</v>
      </c>
      <c r="D39" s="18" t="s">
        <v>141</v>
      </c>
      <c r="E39" s="18" t="s">
        <v>142</v>
      </c>
    </row>
    <row r="40" customFormat="false" ht="15" hidden="false" customHeight="false" outlineLevel="0" collapsed="false">
      <c r="A40" s="6" t="s">
        <v>81</v>
      </c>
      <c r="B40" s="6" t="s">
        <v>143</v>
      </c>
      <c r="C40" s="31" t="n">
        <v>0.3</v>
      </c>
      <c r="D40" s="6" t="s">
        <v>7</v>
      </c>
      <c r="E40" s="6" t="s">
        <v>144</v>
      </c>
    </row>
    <row r="41" customFormat="false" ht="15" hidden="false" customHeight="false" outlineLevel="0" collapsed="false">
      <c r="A41" s="18" t="s">
        <v>145</v>
      </c>
      <c r="B41" s="18" t="s">
        <v>146</v>
      </c>
      <c r="C41" s="35" t="n">
        <v>0.06</v>
      </c>
      <c r="D41" s="18" t="s">
        <v>48</v>
      </c>
      <c r="E41" s="18" t="s">
        <v>147</v>
      </c>
    </row>
    <row r="42" customFormat="false" ht="15" hidden="false" customHeight="false" outlineLevel="0" collapsed="false">
      <c r="A42" s="6" t="s">
        <v>145</v>
      </c>
      <c r="B42" s="6" t="s">
        <v>148</v>
      </c>
      <c r="C42" s="31" t="n">
        <v>0.02</v>
      </c>
      <c r="D42" s="6" t="s">
        <v>149</v>
      </c>
      <c r="E42" s="6" t="s">
        <v>150</v>
      </c>
    </row>
    <row r="43" customFormat="false" ht="15" hidden="false" customHeight="false" outlineLevel="0" collapsed="false">
      <c r="A43" s="18" t="s">
        <v>145</v>
      </c>
      <c r="B43" s="18" t="s">
        <v>151</v>
      </c>
      <c r="C43" s="36" t="n">
        <v>11050000</v>
      </c>
      <c r="D43" s="18" t="s">
        <v>152</v>
      </c>
      <c r="E43" s="18" t="s">
        <v>153</v>
      </c>
    </row>
    <row r="44" customFormat="false" ht="15" hidden="false" customHeight="false" outlineLevel="0" collapsed="false">
      <c r="A44" s="6" t="s">
        <v>145</v>
      </c>
      <c r="B44" s="6" t="s">
        <v>154</v>
      </c>
      <c r="C44" s="37" t="n">
        <f aca="false">$C$43*(($C$19*$C$13+$C$24*$C$21+$C$29*$C$26)/1000)+($C$19*$C$18+$C$24*$C$23+$C$29*$C$28)*1000000</f>
        <v>335117200</v>
      </c>
      <c r="D44" s="6" t="s">
        <v>11</v>
      </c>
      <c r="E44" s="6" t="s">
        <v>155</v>
      </c>
    </row>
    <row r="45" customFormat="false" ht="15" hidden="false" customHeight="false" outlineLevel="0" collapsed="false">
      <c r="A45" s="18" t="s">
        <v>145</v>
      </c>
      <c r="B45" s="18" t="s">
        <v>156</v>
      </c>
      <c r="C45" s="31" t="n">
        <v>0.1</v>
      </c>
      <c r="D45" s="18" t="s">
        <v>7</v>
      </c>
      <c r="E45" s="18" t="s">
        <v>157</v>
      </c>
    </row>
    <row r="46" customFormat="false" ht="15" hidden="false" customHeight="false" outlineLevel="0" collapsed="false">
      <c r="A46" s="6" t="s">
        <v>145</v>
      </c>
      <c r="B46" s="6" t="s">
        <v>158</v>
      </c>
      <c r="C46" s="31" t="n">
        <v>0.8</v>
      </c>
      <c r="D46" s="6" t="s">
        <v>7</v>
      </c>
      <c r="E46" s="6" t="s">
        <v>159</v>
      </c>
    </row>
    <row r="47" customFormat="false" ht="15" hidden="false" customHeight="false" outlineLevel="0" collapsed="false">
      <c r="A47" s="18" t="s">
        <v>145</v>
      </c>
      <c r="B47" s="18" t="s">
        <v>160</v>
      </c>
      <c r="C47" s="31" t="n">
        <v>0.065</v>
      </c>
      <c r="D47" s="18" t="s">
        <v>7</v>
      </c>
      <c r="E47" s="18" t="s">
        <v>161</v>
      </c>
    </row>
    <row r="48" customFormat="false" ht="15" hidden="false" customHeight="false" outlineLevel="0" collapsed="false">
      <c r="A48" s="6" t="s">
        <v>145</v>
      </c>
      <c r="B48" s="6" t="s">
        <v>162</v>
      </c>
      <c r="C48" s="28" t="n">
        <v>5</v>
      </c>
      <c r="D48" s="6" t="s">
        <v>163</v>
      </c>
      <c r="E48" s="6" t="s">
        <v>164</v>
      </c>
    </row>
    <row r="49" customFormat="false" ht="15" hidden="false" customHeight="false" outlineLevel="0" collapsed="false">
      <c r="A49" s="18" t="s">
        <v>145</v>
      </c>
      <c r="B49" s="18" t="s">
        <v>165</v>
      </c>
      <c r="C49" s="28" t="n">
        <v>5</v>
      </c>
      <c r="D49" s="18" t="s">
        <v>163</v>
      </c>
      <c r="E49" s="18" t="s">
        <v>166</v>
      </c>
    </row>
    <row r="50" customFormat="false" ht="15" hidden="false" customHeight="false" outlineLevel="0" collapsed="false">
      <c r="A50" s="6" t="s">
        <v>145</v>
      </c>
      <c r="B50" s="6" t="s">
        <v>167</v>
      </c>
      <c r="C50" s="28" t="n">
        <v>5</v>
      </c>
      <c r="D50" s="6" t="s">
        <v>163</v>
      </c>
      <c r="E50" s="6" t="s">
        <v>168</v>
      </c>
    </row>
    <row r="51" customFormat="false" ht="15" hidden="false" customHeight="false" outlineLevel="0" collapsed="false">
      <c r="A51" s="18" t="s">
        <v>145</v>
      </c>
      <c r="B51" s="18" t="s">
        <v>169</v>
      </c>
      <c r="C51" s="31" t="n">
        <v>0.09</v>
      </c>
      <c r="D51" s="18" t="s">
        <v>7</v>
      </c>
      <c r="E51" s="18" t="s">
        <v>170</v>
      </c>
    </row>
    <row r="52" customFormat="false" ht="15" hidden="false" customHeight="false" outlineLevel="0" collapsed="false">
      <c r="A52" s="6" t="s">
        <v>145</v>
      </c>
      <c r="B52" s="6" t="s">
        <v>171</v>
      </c>
      <c r="C52" s="31" t="n">
        <v>0.3</v>
      </c>
      <c r="D52" s="6" t="s">
        <v>7</v>
      </c>
      <c r="E52" s="6" t="s">
        <v>172</v>
      </c>
    </row>
    <row r="53" customFormat="false" ht="15" hidden="false" customHeight="false" outlineLevel="0" collapsed="false">
      <c r="A53" s="18" t="s">
        <v>145</v>
      </c>
      <c r="B53" s="18" t="s">
        <v>173</v>
      </c>
      <c r="C53" s="31" t="n">
        <v>0.15</v>
      </c>
      <c r="D53" s="18" t="s">
        <v>7</v>
      </c>
      <c r="E53" s="18" t="s">
        <v>174</v>
      </c>
    </row>
    <row r="54" customFormat="false" ht="15" hidden="false" customHeight="false" outlineLevel="0" collapsed="false">
      <c r="A54" s="6" t="s">
        <v>145</v>
      </c>
      <c r="B54" s="6" t="s">
        <v>175</v>
      </c>
      <c r="C54" s="36" t="n">
        <v>1316000</v>
      </c>
      <c r="D54" s="6" t="s">
        <v>176</v>
      </c>
      <c r="E54" s="6" t="s">
        <v>177</v>
      </c>
    </row>
    <row r="55" customFormat="false" ht="15" hidden="false" customHeight="false" outlineLevel="0" collapsed="false">
      <c r="A55" s="18" t="s">
        <v>145</v>
      </c>
      <c r="B55" s="18" t="s">
        <v>178</v>
      </c>
      <c r="C55" s="38" t="n">
        <f aca="false">$C$54*(($C$19*$C$13+$C$24*$C$21+$C$29*$C$26)/1000)</f>
        <v>10875424</v>
      </c>
      <c r="D55" s="18" t="s">
        <v>57</v>
      </c>
      <c r="E55" s="18" t="s">
        <v>179</v>
      </c>
    </row>
    <row r="56" customFormat="false" ht="15" hidden="false" customHeight="false" outlineLevel="0" collapsed="false">
      <c r="A56" s="6" t="s">
        <v>145</v>
      </c>
      <c r="B56" s="6" t="s">
        <v>180</v>
      </c>
      <c r="C56" s="31" t="n">
        <v>0.03</v>
      </c>
      <c r="D56" s="6" t="s">
        <v>149</v>
      </c>
      <c r="E56" s="6" t="s">
        <v>181</v>
      </c>
    </row>
    <row r="57" customFormat="false" ht="15" hidden="false" customHeight="false" outlineLevel="0" collapsed="false">
      <c r="A57" s="18" t="s">
        <v>182</v>
      </c>
      <c r="B57" s="18" t="s">
        <v>183</v>
      </c>
      <c r="C57" s="39" t="n">
        <v>4.92</v>
      </c>
      <c r="D57" s="18" t="s">
        <v>43</v>
      </c>
      <c r="E57" s="18" t="s">
        <v>184</v>
      </c>
    </row>
    <row r="58" customFormat="false" ht="15" hidden="false" customHeight="false" outlineLevel="0" collapsed="false">
      <c r="A58" s="6" t="s">
        <v>182</v>
      </c>
      <c r="B58" s="6" t="s">
        <v>185</v>
      </c>
      <c r="C58" s="37" t="n">
        <f aca="false">$C$57*$C$19*$C$14*8760*$C$38*$C$37*(1-$C$40)</f>
        <v>58788412.13952</v>
      </c>
      <c r="D58" s="6" t="s">
        <v>57</v>
      </c>
      <c r="E58" s="6" t="s">
        <v>186</v>
      </c>
    </row>
    <row r="59" customFormat="false" ht="15" hidden="false" customHeight="false" outlineLevel="0" collapsed="false">
      <c r="A59" s="18" t="s">
        <v>182</v>
      </c>
      <c r="B59" s="18" t="s">
        <v>187</v>
      </c>
      <c r="C59" s="39" t="n">
        <v>0.76</v>
      </c>
      <c r="D59" s="18" t="s">
        <v>45</v>
      </c>
      <c r="E59" s="18" t="s">
        <v>188</v>
      </c>
    </row>
    <row r="60" customFormat="false" ht="15" hidden="false" customHeight="false" outlineLevel="0" collapsed="false">
      <c r="A60" s="6" t="s">
        <v>182</v>
      </c>
      <c r="B60" s="6" t="s">
        <v>189</v>
      </c>
      <c r="C60" s="37" t="n">
        <f aca="false">$C$59*$C$19*$C$14*$C$40*$C$39*3600*8760*$C$37*$C$38/1000000</f>
        <v>25219614.2948352</v>
      </c>
      <c r="D60" s="6" t="s">
        <v>57</v>
      </c>
      <c r="E60" s="6" t="s">
        <v>190</v>
      </c>
    </row>
    <row r="61" customFormat="false" ht="15" hidden="false" customHeight="false" outlineLevel="0" collapsed="false">
      <c r="A61" s="18" t="s">
        <v>182</v>
      </c>
      <c r="B61" s="18" t="s">
        <v>191</v>
      </c>
      <c r="C61" s="31" t="n">
        <v>0.9</v>
      </c>
      <c r="D61" s="18" t="s">
        <v>7</v>
      </c>
      <c r="E61" s="18" t="s">
        <v>192</v>
      </c>
    </row>
    <row r="62" customFormat="false" ht="15" hidden="false" customHeight="false" outlineLevel="0" collapsed="false">
      <c r="A62" s="6" t="s">
        <v>182</v>
      </c>
      <c r="B62" s="6" t="s">
        <v>193</v>
      </c>
      <c r="C62" s="31" t="n">
        <v>0</v>
      </c>
      <c r="D62" s="6" t="s">
        <v>149</v>
      </c>
      <c r="E62" s="6" t="s">
        <v>194</v>
      </c>
    </row>
    <row r="63" customFormat="false" ht="15" hidden="false" customHeight="false" outlineLevel="0" collapsed="false">
      <c r="A63" s="18" t="s">
        <v>182</v>
      </c>
      <c r="B63" s="18" t="s">
        <v>195</v>
      </c>
      <c r="C63" s="31" t="n">
        <v>0.15</v>
      </c>
      <c r="D63" s="18" t="s">
        <v>149</v>
      </c>
      <c r="E63" s="18" t="s">
        <v>196</v>
      </c>
    </row>
    <row r="64" customFormat="false" ht="15" hidden="false" customHeight="false" outlineLevel="0" collapsed="false">
      <c r="A64" s="6" t="s">
        <v>182</v>
      </c>
      <c r="B64" s="6" t="s">
        <v>197</v>
      </c>
      <c r="C64" s="31" t="n">
        <v>0.25</v>
      </c>
      <c r="D64" s="6" t="s">
        <v>149</v>
      </c>
      <c r="E64" s="6" t="s">
        <v>198</v>
      </c>
    </row>
    <row r="65" customFormat="false" ht="15" hidden="false" customHeight="false" outlineLevel="0" collapsed="false">
      <c r="A65" s="18" t="s">
        <v>52</v>
      </c>
      <c r="B65" s="18" t="s">
        <v>199</v>
      </c>
      <c r="C65" s="19" t="s">
        <v>200</v>
      </c>
      <c r="D65" s="18" t="s">
        <v>201</v>
      </c>
      <c r="E65" s="18" t="s">
        <v>202</v>
      </c>
    </row>
    <row r="67" customFormat="false" ht="15" hidden="false" customHeight="false" outlineLevel="0" collapsed="false">
      <c r="A67" s="40" t="s">
        <v>203</v>
      </c>
    </row>
    <row r="68" customFormat="false" ht="15" hidden="false" customHeight="false" outlineLevel="0" collapsed="false">
      <c r="A68" s="40" t="s">
        <v>204</v>
      </c>
    </row>
    <row r="69" customFormat="false" ht="15" hidden="false" customHeight="false" outlineLevel="0" collapsed="false">
      <c r="A69" s="40" t="s">
        <v>205</v>
      </c>
    </row>
  </sheetData>
  <mergeCells count="2">
    <mergeCell ref="A1:E1"/>
    <mergeCell ref="A2:E2"/>
  </mergeCells>
  <dataValidations count="5">
    <dataValidation allowBlank="false" error="Pick a value from the dropdown (or add a new row to the library sheet first)." errorStyle="stop" operator="between" showDropDown="false" showErrorMessage="true" showInputMessage="false" sqref="C5" type="list">
      <formula1>LocationList</formula1>
      <formula2>0</formula2>
    </dataValidation>
    <dataValidation allowBlank="false" error="Pick a value from the dropdown (or add a new row to the library sheet first)." errorStyle="stop" operator="between" showDropDown="false" showErrorMessage="true" showInputMessage="false" sqref="C12" type="list">
      <formula1>RackTypesCompute</formula1>
      <formula2>0</formula2>
    </dataValidation>
    <dataValidation allowBlank="false" error="Pick a value from the dropdown (or add a new row to the library sheet first)." errorStyle="stop" operator="between" showDropDown="false" showErrorMessage="true" showInputMessage="false" sqref="C20" type="list">
      <formula1>RackTypesNetwork</formula1>
      <formula2>0</formula2>
    </dataValidation>
    <dataValidation allowBlank="false" error="Pick a value from the dropdown (or add a new row to the library sheet first)." errorStyle="stop" operator="between" showDropDown="false" showErrorMessage="true" showInputMessage="false" sqref="C25" type="list">
      <formula1>RackTypesStorage</formula1>
      <formula2>0</formula2>
    </dataValidation>
    <dataValidation allowBlank="false" error="Rack count must be a whole number &gt;= 0." errorStyle="stop" operator="between" showDropDown="false" showErrorMessage="false" showInputMessage="false" sqref="C19 C24 C29" type="whole">
      <formula1>0</formula1>
      <formula2>100000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5"/>
    <col collapsed="false" customWidth="true" hidden="false" outlineLevel="0" max="4" min="4" style="0" width="19"/>
    <col collapsed="false" customWidth="true" hidden="false" outlineLevel="0" max="5" min="5" style="0" width="15"/>
    <col collapsed="false" customWidth="true" hidden="false" outlineLevel="0" max="6" min="6" style="0" width="14"/>
    <col collapsed="false" customWidth="true" hidden="false" outlineLevel="0" max="7" min="7" style="0" width="23"/>
    <col collapsed="false" customWidth="true" hidden="false" outlineLevel="0" max="8" min="8" style="0" width="19"/>
    <col collapsed="false" customWidth="true" hidden="false" outlineLevel="0" max="9" min="9" style="0" width="44"/>
  </cols>
  <sheetData>
    <row r="1" customFormat="false" ht="25.5" hidden="false" customHeight="true" outlineLevel="0" collapsed="false">
      <c r="A1" s="1" t="s">
        <v>206</v>
      </c>
      <c r="B1" s="1"/>
      <c r="C1" s="1"/>
      <c r="D1" s="1"/>
      <c r="E1" s="1"/>
      <c r="F1" s="1"/>
      <c r="G1" s="1"/>
    </row>
    <row r="2" customFormat="false" ht="15" hidden="false" customHeight="true" outlineLevel="0" collapsed="false">
      <c r="A2" s="2" t="s">
        <v>207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3" t="s">
        <v>208</v>
      </c>
      <c r="B4" s="3" t="s">
        <v>209</v>
      </c>
      <c r="C4" s="3" t="s">
        <v>210</v>
      </c>
      <c r="D4" s="3" t="s">
        <v>211</v>
      </c>
      <c r="E4" s="3" t="s">
        <v>212</v>
      </c>
      <c r="F4" s="3" t="s">
        <v>213</v>
      </c>
      <c r="G4" s="3" t="s">
        <v>214</v>
      </c>
      <c r="H4" s="3" t="s">
        <v>215</v>
      </c>
      <c r="I4" s="3" t="s">
        <v>216</v>
      </c>
    </row>
    <row r="5" customFormat="false" ht="15" hidden="false" customHeight="false" outlineLevel="0" collapsed="false">
      <c r="A5" s="18" t="s">
        <v>83</v>
      </c>
      <c r="B5" s="18" t="s">
        <v>217</v>
      </c>
      <c r="C5" s="41" t="n">
        <v>72</v>
      </c>
      <c r="D5" s="42" t="n">
        <v>227</v>
      </c>
      <c r="E5" s="41" t="n">
        <v>2300</v>
      </c>
      <c r="F5" s="43" t="s">
        <v>218</v>
      </c>
      <c r="G5" s="44" t="n">
        <f aca="false">IF($F5="Liquid",$D5/('Control Panel &amp; Inputs'!$C$35*'Control Panel &amp; Inputs'!$C$34*('Control Panel &amp; Inputs'!$C$33-'Control Panel &amp; Inputs'!$C$32))*60,0)</f>
        <v>343.462362879839</v>
      </c>
      <c r="H5" s="45" t="n">
        <v>7.4</v>
      </c>
      <c r="I5" s="18" t="s">
        <v>219</v>
      </c>
    </row>
    <row r="6" customFormat="false" ht="15" hidden="false" customHeight="false" outlineLevel="0" collapsed="false">
      <c r="A6" s="6" t="s">
        <v>220</v>
      </c>
      <c r="B6" s="6" t="s">
        <v>217</v>
      </c>
      <c r="C6" s="46" t="n">
        <v>72</v>
      </c>
      <c r="D6" s="47" t="n">
        <v>137</v>
      </c>
      <c r="E6" s="46" t="n">
        <v>1400</v>
      </c>
      <c r="F6" s="48" t="s">
        <v>218</v>
      </c>
      <c r="G6" s="49" t="n">
        <f aca="false">IF($F6="Liquid",$D6/('Control Panel &amp; Inputs'!$C$35*'Control Panel &amp; Inputs'!$C$34*('Control Panel &amp; Inputs'!$C$33-'Control Panel &amp; Inputs'!$C$32))*60,0)</f>
        <v>207.287857773295</v>
      </c>
      <c r="H6" s="50" t="n">
        <v>4</v>
      </c>
      <c r="I6" s="6" t="s">
        <v>221</v>
      </c>
    </row>
    <row r="7" customFormat="false" ht="15" hidden="false" customHeight="false" outlineLevel="0" collapsed="false">
      <c r="A7" s="18" t="s">
        <v>222</v>
      </c>
      <c r="B7" s="18" t="s">
        <v>217</v>
      </c>
      <c r="C7" s="41" t="n">
        <v>72</v>
      </c>
      <c r="D7" s="42" t="n">
        <v>121</v>
      </c>
      <c r="E7" s="41" t="n">
        <v>1200</v>
      </c>
      <c r="F7" s="43" t="s">
        <v>218</v>
      </c>
      <c r="G7" s="44" t="n">
        <f aca="false">IF($F7="Liquid",$D7/('Control Panel &amp; Inputs'!$C$35*'Control Panel &amp; Inputs'!$C$34*('Control Panel &amp; Inputs'!$C$33-'Control Panel &amp; Inputs'!$C$32))*60,0)</f>
        <v>183.079056865465</v>
      </c>
      <c r="H7" s="45" t="n">
        <v>3.5</v>
      </c>
      <c r="I7" s="18" t="s">
        <v>223</v>
      </c>
    </row>
    <row r="8" customFormat="false" ht="15" hidden="false" customHeight="false" outlineLevel="0" collapsed="false">
      <c r="A8" s="6" t="s">
        <v>224</v>
      </c>
      <c r="B8" s="6" t="s">
        <v>217</v>
      </c>
      <c r="C8" s="46" t="n">
        <v>576</v>
      </c>
      <c r="D8" s="47" t="n">
        <v>600</v>
      </c>
      <c r="E8" s="46" t="n">
        <v>2300</v>
      </c>
      <c r="F8" s="48" t="s">
        <v>218</v>
      </c>
      <c r="G8" s="49" t="n">
        <f aca="false">IF($F8="Liquid",$D8/('Control Panel &amp; Inputs'!$C$35*'Control Panel &amp; Inputs'!$C$34*('Control Panel &amp; Inputs'!$C$33-'Control Panel &amp; Inputs'!$C$32))*60,0)</f>
        <v>907.830034043626</v>
      </c>
      <c r="H8" s="50" t="n">
        <v>30</v>
      </c>
      <c r="I8" s="6" t="s">
        <v>225</v>
      </c>
    </row>
    <row r="9" customFormat="false" ht="15" hidden="false" customHeight="false" outlineLevel="0" collapsed="false">
      <c r="A9" s="18" t="s">
        <v>226</v>
      </c>
      <c r="B9" s="18" t="s">
        <v>217</v>
      </c>
      <c r="C9" s="41" t="n">
        <v>32</v>
      </c>
      <c r="D9" s="42" t="n">
        <v>44</v>
      </c>
      <c r="E9" s="41" t="n">
        <v>700</v>
      </c>
      <c r="F9" s="43" t="s">
        <v>227</v>
      </c>
      <c r="G9" s="44" t="n">
        <f aca="false">IF($F9="Liquid",$D9/('Control Panel &amp; Inputs'!$C$35*'Control Panel &amp; Inputs'!$C$34*('Control Panel &amp; Inputs'!$C$33-'Control Panel &amp; Inputs'!$C$32))*60,0)</f>
        <v>0</v>
      </c>
      <c r="H9" s="45" t="n">
        <v>0.35</v>
      </c>
      <c r="I9" s="18" t="s">
        <v>228</v>
      </c>
    </row>
    <row r="10" customFormat="false" ht="15" hidden="false" customHeight="false" outlineLevel="0" collapsed="false">
      <c r="A10" s="6" t="s">
        <v>105</v>
      </c>
      <c r="B10" s="6" t="s">
        <v>229</v>
      </c>
      <c r="C10" s="46" t="n">
        <v>0</v>
      </c>
      <c r="D10" s="47" t="n">
        <v>100</v>
      </c>
      <c r="E10" s="46" t="n">
        <v>0</v>
      </c>
      <c r="F10" s="48" t="s">
        <v>227</v>
      </c>
      <c r="G10" s="49" t="n">
        <f aca="false">IF($F10="Liquid",$D10/('Control Panel &amp; Inputs'!$C$35*'Control Panel &amp; Inputs'!$C$34*('Control Panel &amp; Inputs'!$C$33-'Control Panel &amp; Inputs'!$C$32))*60,0)</f>
        <v>0</v>
      </c>
      <c r="H10" s="50" t="n">
        <v>0.5</v>
      </c>
      <c r="I10" s="6" t="s">
        <v>230</v>
      </c>
    </row>
    <row r="11" customFormat="false" ht="15" hidden="false" customHeight="false" outlineLevel="0" collapsed="false">
      <c r="A11" s="18" t="s">
        <v>231</v>
      </c>
      <c r="B11" s="18" t="s">
        <v>229</v>
      </c>
      <c r="C11" s="41" t="n">
        <v>0</v>
      </c>
      <c r="D11" s="42" t="n">
        <v>80</v>
      </c>
      <c r="E11" s="41" t="n">
        <v>0</v>
      </c>
      <c r="F11" s="43" t="s">
        <v>218</v>
      </c>
      <c r="G11" s="44" t="n">
        <f aca="false">IF($F11="Liquid",$D11/('Control Panel &amp; Inputs'!$C$35*'Control Panel &amp; Inputs'!$C$34*('Control Panel &amp; Inputs'!$C$33-'Control Panel &amp; Inputs'!$C$32))*60,0)</f>
        <v>121.04400453915</v>
      </c>
      <c r="H11" s="45" t="n">
        <v>0.8</v>
      </c>
      <c r="I11" s="18" t="s">
        <v>232</v>
      </c>
    </row>
    <row r="12" customFormat="false" ht="15" hidden="false" customHeight="false" outlineLevel="0" collapsed="false">
      <c r="A12" s="6" t="s">
        <v>113</v>
      </c>
      <c r="B12" s="6" t="s">
        <v>233</v>
      </c>
      <c r="C12" s="46" t="n">
        <v>0</v>
      </c>
      <c r="D12" s="47" t="n">
        <v>40</v>
      </c>
      <c r="E12" s="46" t="n">
        <v>0</v>
      </c>
      <c r="F12" s="48" t="s">
        <v>227</v>
      </c>
      <c r="G12" s="49" t="n">
        <f aca="false">IF($F12="Liquid",$D12/('Control Panel &amp; Inputs'!$C$35*'Control Panel &amp; Inputs'!$C$34*('Control Panel &amp; Inputs'!$C$33-'Control Panel &amp; Inputs'!$C$32))*60,0)</f>
        <v>0</v>
      </c>
      <c r="H12" s="50" t="n">
        <v>0.4</v>
      </c>
      <c r="I12" s="6" t="s">
        <v>234</v>
      </c>
    </row>
    <row r="13" customFormat="false" ht="15" hidden="false" customHeight="false" outlineLevel="0" collapsed="false">
      <c r="A13" s="18" t="s">
        <v>235</v>
      </c>
      <c r="B13" s="18" t="s">
        <v>233</v>
      </c>
      <c r="C13" s="41" t="n">
        <v>0</v>
      </c>
      <c r="D13" s="42" t="n">
        <v>25</v>
      </c>
      <c r="E13" s="41" t="n">
        <v>0</v>
      </c>
      <c r="F13" s="43" t="s">
        <v>227</v>
      </c>
      <c r="G13" s="44" t="n">
        <f aca="false">IF($F13="Liquid",$D13/('Control Panel &amp; Inputs'!$C$35*'Control Panel &amp; Inputs'!$C$34*('Control Panel &amp; Inputs'!$C$33-'Control Panel &amp; Inputs'!$C$32))*60,0)</f>
        <v>0</v>
      </c>
      <c r="H13" s="45" t="n">
        <v>0.25</v>
      </c>
      <c r="I13" s="18" t="s">
        <v>236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9"/>
    <col collapsed="false" customWidth="true" hidden="false" outlineLevel="0" max="3" min="3" style="0" width="30"/>
    <col collapsed="false" customWidth="true" hidden="false" outlineLevel="0" max="5" min="4" style="0" width="29"/>
    <col collapsed="false" customWidth="true" hidden="false" outlineLevel="0" max="6" min="6" style="0" width="44"/>
  </cols>
  <sheetData>
    <row r="1" customFormat="false" ht="25.5" hidden="false" customHeight="true" outlineLevel="0" collapsed="false">
      <c r="A1" s="1" t="s">
        <v>237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238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239</v>
      </c>
      <c r="B4" s="3" t="s">
        <v>240</v>
      </c>
      <c r="C4" s="3" t="s">
        <v>241</v>
      </c>
      <c r="D4" s="3" t="s">
        <v>242</v>
      </c>
      <c r="E4" s="3" t="s">
        <v>243</v>
      </c>
      <c r="F4" s="3" t="s">
        <v>244</v>
      </c>
    </row>
    <row r="5" customFormat="false" ht="15" hidden="false" customHeight="false" outlineLevel="0" collapsed="false">
      <c r="A5" s="18" t="s">
        <v>64</v>
      </c>
      <c r="B5" s="18" t="s">
        <v>245</v>
      </c>
      <c r="C5" s="51" t="n">
        <v>0.26</v>
      </c>
      <c r="D5" s="42" t="n">
        <v>50</v>
      </c>
      <c r="E5" s="42" t="n">
        <v>30</v>
      </c>
      <c r="F5" s="18" t="s">
        <v>246</v>
      </c>
    </row>
    <row r="6" customFormat="false" ht="15" hidden="false" customHeight="false" outlineLevel="0" collapsed="false">
      <c r="A6" s="6" t="s">
        <v>247</v>
      </c>
      <c r="B6" s="6" t="s">
        <v>248</v>
      </c>
      <c r="C6" s="52" t="n">
        <v>0.28</v>
      </c>
      <c r="D6" s="47" t="n">
        <v>49.5</v>
      </c>
      <c r="E6" s="47" t="n">
        <v>31</v>
      </c>
      <c r="F6" s="6"/>
    </row>
    <row r="7" customFormat="false" ht="15" hidden="false" customHeight="false" outlineLevel="0" collapsed="false">
      <c r="A7" s="18" t="s">
        <v>249</v>
      </c>
      <c r="B7" s="18" t="s">
        <v>248</v>
      </c>
      <c r="C7" s="51" t="n">
        <v>0.28</v>
      </c>
      <c r="D7" s="42" t="n">
        <v>49</v>
      </c>
      <c r="E7" s="42" t="n">
        <v>24</v>
      </c>
      <c r="F7" s="18" t="s">
        <v>250</v>
      </c>
    </row>
    <row r="8" customFormat="false" ht="15" hidden="false" customHeight="false" outlineLevel="0" collapsed="false">
      <c r="A8" s="6" t="s">
        <v>251</v>
      </c>
      <c r="B8" s="6" t="s">
        <v>252</v>
      </c>
      <c r="C8" s="52" t="n">
        <v>0.28</v>
      </c>
      <c r="D8" s="47" t="n">
        <v>36.5</v>
      </c>
      <c r="E8" s="47" t="n">
        <v>29.5</v>
      </c>
      <c r="F8" s="6" t="s">
        <v>253</v>
      </c>
    </row>
    <row r="9" customFormat="false" ht="15" hidden="false" customHeight="false" outlineLevel="0" collapsed="false">
      <c r="A9" s="18" t="s">
        <v>254</v>
      </c>
      <c r="B9" s="18" t="s">
        <v>252</v>
      </c>
      <c r="C9" s="51" t="n">
        <v>0.28</v>
      </c>
      <c r="D9" s="42" t="n">
        <v>39.5</v>
      </c>
      <c r="E9" s="42" t="n">
        <v>30</v>
      </c>
      <c r="F9" s="18"/>
    </row>
    <row r="10" customFormat="false" ht="15" hidden="false" customHeight="false" outlineLevel="0" collapsed="false">
      <c r="A10" s="6" t="s">
        <v>255</v>
      </c>
      <c r="B10" s="6" t="s">
        <v>256</v>
      </c>
      <c r="C10" s="52" t="n">
        <v>0.25</v>
      </c>
      <c r="D10" s="47" t="n">
        <v>48.5</v>
      </c>
      <c r="E10" s="47" t="n">
        <v>26.5</v>
      </c>
      <c r="F10" s="6"/>
    </row>
    <row r="11" customFormat="false" ht="15" hidden="false" customHeight="false" outlineLevel="0" collapsed="false">
      <c r="A11" s="18" t="s">
        <v>257</v>
      </c>
      <c r="B11" s="18" t="s">
        <v>258</v>
      </c>
      <c r="C11" s="51" t="n">
        <v>0.21</v>
      </c>
      <c r="D11" s="42" t="n">
        <v>43.5</v>
      </c>
      <c r="E11" s="42" t="n">
        <v>27.5</v>
      </c>
      <c r="F11" s="18"/>
    </row>
    <row r="12" customFormat="false" ht="15" hidden="false" customHeight="false" outlineLevel="0" collapsed="false">
      <c r="A12" s="6" t="s">
        <v>259</v>
      </c>
      <c r="B12" s="6" t="s">
        <v>260</v>
      </c>
      <c r="C12" s="52" t="n">
        <v>0.19</v>
      </c>
      <c r="D12" s="47" t="n">
        <v>39</v>
      </c>
      <c r="E12" s="47" t="n">
        <v>27</v>
      </c>
      <c r="F12" s="6" t="s">
        <v>261</v>
      </c>
    </row>
    <row r="13" customFormat="false" ht="15" hidden="false" customHeight="false" outlineLevel="0" collapsed="false">
      <c r="A13" s="18" t="s">
        <v>262</v>
      </c>
      <c r="B13" s="18" t="s">
        <v>263</v>
      </c>
      <c r="C13" s="51" t="n">
        <v>0.16</v>
      </c>
      <c r="D13" s="42" t="n">
        <v>38.5</v>
      </c>
      <c r="E13" s="42" t="n">
        <v>27</v>
      </c>
      <c r="F13" s="18"/>
    </row>
    <row r="14" customFormat="false" ht="15" hidden="false" customHeight="false" outlineLevel="0" collapsed="false">
      <c r="A14" s="6" t="s">
        <v>264</v>
      </c>
      <c r="B14" s="6" t="s">
        <v>263</v>
      </c>
      <c r="C14" s="52" t="n">
        <v>0.16</v>
      </c>
      <c r="D14" s="47" t="n">
        <v>37.5</v>
      </c>
      <c r="E14" s="47" t="n">
        <v>23</v>
      </c>
      <c r="F14" s="6"/>
    </row>
    <row r="15" customFormat="false" ht="15" hidden="false" customHeight="false" outlineLevel="0" collapsed="false">
      <c r="A15" s="18" t="s">
        <v>265</v>
      </c>
      <c r="B15" s="18" t="s">
        <v>263</v>
      </c>
      <c r="C15" s="51" t="n">
        <v>0.16</v>
      </c>
      <c r="D15" s="42" t="n">
        <v>35</v>
      </c>
      <c r="E15" s="42" t="n">
        <v>22</v>
      </c>
      <c r="F15" s="18"/>
    </row>
    <row r="16" customFormat="false" ht="15" hidden="false" customHeight="false" outlineLevel="0" collapsed="false">
      <c r="A16" s="6" t="s">
        <v>266</v>
      </c>
      <c r="B16" s="6" t="s">
        <v>263</v>
      </c>
      <c r="C16" s="52" t="n">
        <v>0.16</v>
      </c>
      <c r="D16" s="47" t="n">
        <v>28.5</v>
      </c>
      <c r="E16" s="47" t="n">
        <v>19.5</v>
      </c>
      <c r="F16" s="6" t="s">
        <v>267</v>
      </c>
    </row>
    <row r="17" customFormat="false" ht="15" hidden="false" customHeight="false" outlineLevel="0" collapsed="false">
      <c r="A17" s="18" t="s">
        <v>268</v>
      </c>
      <c r="B17" s="18" t="s">
        <v>269</v>
      </c>
      <c r="C17" s="51" t="n">
        <v>0.15</v>
      </c>
      <c r="D17" s="42" t="n">
        <v>32</v>
      </c>
      <c r="E17" s="42" t="n">
        <v>21</v>
      </c>
      <c r="F17" s="18"/>
    </row>
    <row r="18" customFormat="false" ht="15" hidden="false" customHeight="false" outlineLevel="0" collapsed="false">
      <c r="A18" s="6" t="s">
        <v>270</v>
      </c>
      <c r="B18" s="6" t="s">
        <v>258</v>
      </c>
      <c r="C18" s="52" t="n">
        <v>0.21</v>
      </c>
      <c r="D18" s="47" t="n">
        <v>37.5</v>
      </c>
      <c r="E18" s="47" t="n">
        <v>27.5</v>
      </c>
      <c r="F18" s="6"/>
    </row>
    <row r="19" customFormat="false" ht="15" hidden="false" customHeight="false" outlineLevel="0" collapsed="false">
      <c r="A19" s="18" t="s">
        <v>271</v>
      </c>
      <c r="B19" s="18" t="s">
        <v>258</v>
      </c>
      <c r="C19" s="51" t="n">
        <v>0.21</v>
      </c>
      <c r="D19" s="42" t="n">
        <v>43</v>
      </c>
      <c r="E19" s="42" t="n">
        <v>24.5</v>
      </c>
      <c r="F19" s="18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false"/>
  </sheetPr>
  <dimension ref="A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1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44"/>
    <col collapsed="false" customWidth="true" hidden="false" outlineLevel="0" max="6" min="5" style="0" width="14"/>
  </cols>
  <sheetData>
    <row r="1" customFormat="false" ht="25.5" hidden="false" customHeight="true" outlineLevel="0" collapsed="false">
      <c r="A1" s="1" t="s">
        <v>272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273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274</v>
      </c>
      <c r="B4" s="3" t="s">
        <v>2</v>
      </c>
      <c r="C4" s="3" t="s">
        <v>3</v>
      </c>
      <c r="D4" s="3" t="s">
        <v>244</v>
      </c>
    </row>
    <row r="5" customFormat="false" ht="15" hidden="false" customHeight="false" outlineLevel="0" collapsed="false">
      <c r="A5" s="18" t="s">
        <v>275</v>
      </c>
      <c r="B5" s="44" t="n">
        <f aca="false">'Control Panel &amp; Inputs'!$C$19*'Control Panel &amp; Inputs'!$C$13</f>
        <v>7264</v>
      </c>
      <c r="C5" s="18" t="s">
        <v>276</v>
      </c>
      <c r="D5" s="18" t="s">
        <v>277</v>
      </c>
    </row>
    <row r="6" customFormat="false" ht="15" hidden="false" customHeight="false" outlineLevel="0" collapsed="false">
      <c r="A6" s="6" t="s">
        <v>278</v>
      </c>
      <c r="B6" s="49" t="n">
        <f aca="false">'Control Panel &amp; Inputs'!$C$24*'Control Panel &amp; Inputs'!$C$21</f>
        <v>600</v>
      </c>
      <c r="C6" s="6" t="s">
        <v>276</v>
      </c>
      <c r="D6" s="6" t="s">
        <v>279</v>
      </c>
    </row>
    <row r="7" customFormat="false" ht="15" hidden="false" customHeight="false" outlineLevel="0" collapsed="false">
      <c r="A7" s="18" t="s">
        <v>280</v>
      </c>
      <c r="B7" s="44" t="n">
        <f aca="false">'Control Panel &amp; Inputs'!$C$29*'Control Panel &amp; Inputs'!$C$26</f>
        <v>400</v>
      </c>
      <c r="C7" s="18" t="s">
        <v>276</v>
      </c>
      <c r="D7" s="18" t="s">
        <v>281</v>
      </c>
    </row>
    <row r="8" customFormat="false" ht="15" hidden="false" customHeight="false" outlineLevel="0" collapsed="false">
      <c r="A8" s="6" t="s">
        <v>282</v>
      </c>
      <c r="B8" s="49" t="n">
        <f aca="false">B5+B6+B7</f>
        <v>8264</v>
      </c>
      <c r="C8" s="6" t="s">
        <v>276</v>
      </c>
      <c r="D8" s="6" t="s">
        <v>283</v>
      </c>
    </row>
    <row r="9" customFormat="false" ht="15" hidden="false" customHeight="false" outlineLevel="0" collapsed="false">
      <c r="A9" s="18" t="s">
        <v>284</v>
      </c>
      <c r="B9" s="44" t="n">
        <f aca="false">IF('Control Panel &amp; Inputs'!$C$16="Liquid",B5,0)+IF('Control Panel &amp; Inputs'!$C$22="Liquid",B6,0)+IF('Control Panel &amp; Inputs'!$C$27="Liquid",B7,0)</f>
        <v>7264</v>
      </c>
      <c r="C9" s="18" t="s">
        <v>276</v>
      </c>
      <c r="D9" s="18" t="s">
        <v>285</v>
      </c>
    </row>
    <row r="10" customFormat="false" ht="15" hidden="false" customHeight="false" outlineLevel="0" collapsed="false">
      <c r="A10" s="6" t="s">
        <v>286</v>
      </c>
      <c r="B10" s="49" t="n">
        <f aca="false">B8-B9</f>
        <v>1000</v>
      </c>
      <c r="C10" s="6" t="s">
        <v>276</v>
      </c>
      <c r="D10" s="6" t="s">
        <v>287</v>
      </c>
    </row>
    <row r="11" customFormat="false" ht="15" hidden="false" customHeight="false" outlineLevel="0" collapsed="false">
      <c r="A11" s="18" t="s">
        <v>288</v>
      </c>
      <c r="B11" s="53" t="n">
        <f aca="false">IF('Control Panel &amp; Inputs'!$C$16="Liquid",'Control Panel &amp; Inputs'!$C$19,0)+IF('Control Panel &amp; Inputs'!$C$22="Liquid",'Control Panel &amp; Inputs'!$C$24,0)+IF('Control Panel &amp; Inputs'!$C$27="Liquid",'Control Panel &amp; Inputs'!$C$29,0)</f>
        <v>32</v>
      </c>
      <c r="C11" s="18" t="s">
        <v>102</v>
      </c>
      <c r="D11" s="18" t="s">
        <v>289</v>
      </c>
    </row>
    <row r="12" customFormat="false" ht="15" hidden="false" customHeight="false" outlineLevel="0" collapsed="false">
      <c r="A12" s="6" t="s">
        <v>290</v>
      </c>
      <c r="B12" s="49" t="n">
        <f aca="false">'Control Panel &amp; Inputs'!$C$32</f>
        <v>45</v>
      </c>
      <c r="C12" s="6" t="s">
        <v>71</v>
      </c>
      <c r="D12" s="6" t="s">
        <v>291</v>
      </c>
    </row>
    <row r="13" customFormat="false" ht="15" hidden="false" customHeight="false" outlineLevel="0" collapsed="false">
      <c r="A13" s="18" t="s">
        <v>292</v>
      </c>
      <c r="B13" s="44" t="n">
        <f aca="false">'Control Panel &amp; Inputs'!$C$33</f>
        <v>55</v>
      </c>
      <c r="C13" s="18" t="s">
        <v>71</v>
      </c>
      <c r="D13" s="18" t="s">
        <v>293</v>
      </c>
    </row>
    <row r="14" customFormat="false" ht="15" hidden="false" customHeight="false" outlineLevel="0" collapsed="false">
      <c r="A14" s="6" t="s">
        <v>294</v>
      </c>
      <c r="B14" s="49" t="n">
        <f aca="false">B13-B12</f>
        <v>10</v>
      </c>
      <c r="C14" s="6" t="s">
        <v>71</v>
      </c>
      <c r="D14" s="6" t="s">
        <v>295</v>
      </c>
    </row>
    <row r="15" customFormat="false" ht="15" hidden="false" customHeight="false" outlineLevel="0" collapsed="false">
      <c r="A15" s="18" t="s">
        <v>296</v>
      </c>
      <c r="B15" s="44" t="n">
        <f aca="false">'Control Panel &amp; Inputs'!$C$13/('Control Panel &amp; Inputs'!$C$35*'Control Panel &amp; Inputs'!$C$34*B14)*60</f>
        <v>343.462362879839</v>
      </c>
      <c r="C15" s="18" t="s">
        <v>96</v>
      </c>
      <c r="D15" s="18" t="s">
        <v>297</v>
      </c>
    </row>
    <row r="16" customFormat="false" ht="15" hidden="false" customHeight="false" outlineLevel="0" collapsed="false">
      <c r="A16" s="6" t="s">
        <v>298</v>
      </c>
      <c r="B16" s="49" t="n">
        <f aca="false">B9/('Control Panel &amp; Inputs'!$C$35*'Control Panel &amp; Inputs'!$C$34*B14)*60</f>
        <v>10990.7956121548</v>
      </c>
      <c r="C16" s="6" t="s">
        <v>96</v>
      </c>
      <c r="D16" s="6" t="s">
        <v>299</v>
      </c>
    </row>
    <row r="17" customFormat="false" ht="15" hidden="false" customHeight="false" outlineLevel="0" collapsed="false">
      <c r="A17" s="18" t="s">
        <v>300</v>
      </c>
      <c r="B17" s="44" t="n">
        <f aca="false">'Control Panel &amp; Inputs'!$C$8</f>
        <v>50</v>
      </c>
      <c r="C17" s="18" t="s">
        <v>71</v>
      </c>
      <c r="D17" s="18" t="s">
        <v>301</v>
      </c>
    </row>
    <row r="18" customFormat="false" ht="15" hidden="false" customHeight="false" outlineLevel="0" collapsed="false">
      <c r="A18" s="6" t="s">
        <v>302</v>
      </c>
      <c r="B18" s="49" t="n">
        <f aca="false">'Control Panel &amp; Inputs'!$C$9</f>
        <v>30</v>
      </c>
      <c r="C18" s="6" t="s">
        <v>71</v>
      </c>
      <c r="D18" s="6" t="s">
        <v>303</v>
      </c>
    </row>
    <row r="19" customFormat="false" ht="15" hidden="false" customHeight="false" outlineLevel="0" collapsed="false">
      <c r="A19" s="18" t="s">
        <v>304</v>
      </c>
      <c r="B19" s="44" t="n">
        <f aca="false">B13-B17</f>
        <v>5</v>
      </c>
      <c r="C19" s="18" t="s">
        <v>305</v>
      </c>
      <c r="D19" s="18" t="s">
        <v>306</v>
      </c>
    </row>
    <row r="20" customFormat="false" ht="15" hidden="false" customHeight="false" outlineLevel="0" collapsed="false">
      <c r="A20" s="6" t="s">
        <v>307</v>
      </c>
      <c r="B20" s="49" t="n">
        <f aca="false">B9*'Control Panel &amp; Inputs'!$C$30</f>
        <v>363.2</v>
      </c>
      <c r="C20" s="6" t="s">
        <v>276</v>
      </c>
      <c r="D20" s="6" t="s">
        <v>308</v>
      </c>
    </row>
    <row r="21" customFormat="false" ht="15" hidden="false" customHeight="false" outlineLevel="0" collapsed="false">
      <c r="A21" s="18" t="s">
        <v>309</v>
      </c>
      <c r="B21" s="44" t="n">
        <f aca="false">B10*'Control Panel &amp; Inputs'!$C$31</f>
        <v>280</v>
      </c>
      <c r="C21" s="18" t="s">
        <v>276</v>
      </c>
      <c r="D21" s="18" t="s">
        <v>310</v>
      </c>
    </row>
    <row r="22" customFormat="false" ht="15" hidden="false" customHeight="false" outlineLevel="0" collapsed="false">
      <c r="A22" s="6" t="s">
        <v>311</v>
      </c>
      <c r="B22" s="49" t="n">
        <f aca="false">B20+B21</f>
        <v>643.2</v>
      </c>
      <c r="C22" s="6" t="s">
        <v>276</v>
      </c>
      <c r="D22" s="6" t="s">
        <v>312</v>
      </c>
    </row>
    <row r="23" customFormat="false" ht="15" hidden="false" customHeight="false" outlineLevel="0" collapsed="false">
      <c r="A23" s="18" t="s">
        <v>313</v>
      </c>
      <c r="B23" s="54" t="n">
        <f aca="false">B22/B8</f>
        <v>0.0778315585672798</v>
      </c>
      <c r="C23" s="18"/>
      <c r="D23" s="18" t="s">
        <v>314</v>
      </c>
    </row>
    <row r="24" customFormat="false" ht="15" hidden="false" customHeight="false" outlineLevel="0" collapsed="false">
      <c r="A24" s="6" t="s">
        <v>315</v>
      </c>
      <c r="B24" s="55" t="n">
        <f aca="false">'Control Panel &amp; Inputs'!$C$7</f>
        <v>0.26</v>
      </c>
      <c r="C24" s="6"/>
      <c r="D24" s="6" t="s">
        <v>316</v>
      </c>
    </row>
    <row r="25" customFormat="false" ht="15" hidden="false" customHeight="false" outlineLevel="0" collapsed="false">
      <c r="A25" s="18" t="s">
        <v>317</v>
      </c>
      <c r="B25" s="56" t="n">
        <f aca="false">(B24-B23)/B24</f>
        <v>0.700647851664309</v>
      </c>
      <c r="C25" s="18" t="s">
        <v>7</v>
      </c>
      <c r="D25" s="18" t="s">
        <v>318</v>
      </c>
    </row>
    <row r="26" customFormat="false" ht="15" hidden="false" customHeight="false" outlineLevel="0" collapsed="false">
      <c r="A26" s="6" t="s">
        <v>319</v>
      </c>
      <c r="B26" s="49" t="n">
        <f aca="false">B8*'Control Panel &amp; Inputs'!$C$37*'Control Panel &amp; Inputs'!$C$38</f>
        <v>6989.278</v>
      </c>
      <c r="C26" s="6" t="s">
        <v>276</v>
      </c>
      <c r="D26" s="6" t="s">
        <v>320</v>
      </c>
    </row>
    <row r="27" customFormat="false" ht="15" hidden="false" customHeight="false" outlineLevel="0" collapsed="false">
      <c r="A27" s="18" t="s">
        <v>321</v>
      </c>
      <c r="B27" s="54" t="n">
        <f aca="false">'Control Panel &amp; Inputs'!$C$36</f>
        <v>1.08</v>
      </c>
      <c r="C27" s="18"/>
      <c r="D27" s="18" t="s">
        <v>322</v>
      </c>
    </row>
    <row r="28" customFormat="false" ht="15" hidden="false" customHeight="false" outlineLevel="0" collapsed="false">
      <c r="A28" s="6" t="s">
        <v>30</v>
      </c>
      <c r="B28" s="57" t="n">
        <f aca="false">B26*8760*B27/1000</f>
        <v>66124.1613024</v>
      </c>
      <c r="C28" s="6" t="s">
        <v>31</v>
      </c>
      <c r="D28" s="6" t="s">
        <v>323</v>
      </c>
    </row>
    <row r="29" customFormat="false" ht="15" hidden="false" customHeight="false" outlineLevel="0" collapsed="false">
      <c r="A29" s="18" t="s">
        <v>34</v>
      </c>
      <c r="B29" s="53" t="n">
        <f aca="false">B28*'Control Panel &amp; Inputs'!$C$11</f>
        <v>9918.62419536</v>
      </c>
      <c r="C29" s="18" t="s">
        <v>35</v>
      </c>
      <c r="D29" s="18" t="s">
        <v>324</v>
      </c>
    </row>
    <row r="30" customFormat="false" ht="15" hidden="false" customHeight="false" outlineLevel="0" collapsed="false">
      <c r="A30" s="6" t="s">
        <v>32</v>
      </c>
      <c r="B30" s="57" t="n">
        <f aca="false">B28*'Control Panel &amp; Inputs'!$C$10</f>
        <v>25788.422907936</v>
      </c>
      <c r="C30" s="6" t="s">
        <v>33</v>
      </c>
      <c r="D30" s="6" t="s">
        <v>325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G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9"/>
    <col collapsed="false" customWidth="true" hidden="false" outlineLevel="0" max="7" min="2" style="0" width="18"/>
  </cols>
  <sheetData>
    <row r="1" customFormat="false" ht="25.5" hidden="false" customHeight="true" outlineLevel="0" collapsed="false">
      <c r="A1" s="1" t="s">
        <v>326</v>
      </c>
      <c r="B1" s="1"/>
      <c r="C1" s="1"/>
      <c r="D1" s="1"/>
      <c r="E1" s="1"/>
      <c r="F1" s="1"/>
      <c r="G1" s="1"/>
    </row>
    <row r="2" customFormat="false" ht="15" hidden="false" customHeight="true" outlineLevel="0" collapsed="false">
      <c r="A2" s="2" t="s">
        <v>327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3" t="s">
        <v>328</v>
      </c>
      <c r="B4" s="3" t="s">
        <v>329</v>
      </c>
      <c r="C4" s="3" t="s">
        <v>330</v>
      </c>
      <c r="D4" s="3" t="s">
        <v>331</v>
      </c>
      <c r="E4" s="3" t="s">
        <v>332</v>
      </c>
      <c r="F4" s="3" t="s">
        <v>333</v>
      </c>
      <c r="G4" s="3" t="s">
        <v>334</v>
      </c>
    </row>
    <row r="5" customFormat="false" ht="15" hidden="false" customHeight="false" outlineLevel="0" collapsed="false">
      <c r="A5" s="58" t="s">
        <v>335</v>
      </c>
      <c r="B5" s="59" t="n">
        <v>0</v>
      </c>
      <c r="C5" s="59" t="n">
        <f aca="false">'Control Panel &amp; Inputs'!$C$61</f>
        <v>0.9</v>
      </c>
      <c r="D5" s="59" t="n">
        <v>1</v>
      </c>
      <c r="E5" s="59" t="n">
        <v>1</v>
      </c>
      <c r="F5" s="59" t="n">
        <v>1</v>
      </c>
      <c r="G5" s="59" t="n">
        <v>1</v>
      </c>
    </row>
    <row r="6" customFormat="false" ht="15" hidden="false" customHeight="false" outlineLevel="0" collapsed="false">
      <c r="A6" s="58" t="s">
        <v>336</v>
      </c>
      <c r="B6" s="60" t="n">
        <v>0</v>
      </c>
      <c r="C6" s="60" t="n">
        <f aca="false">'Control Panel &amp; Inputs'!$C$58*POWER(1+'Control Panel &amp; Inputs'!$C$62,0)*C5</f>
        <v>52909570.925568</v>
      </c>
      <c r="D6" s="60" t="n">
        <f aca="false">'Control Panel &amp; Inputs'!$C$58*POWER(1+'Control Panel &amp; Inputs'!$C$62,1)*D5</f>
        <v>58788412.13952</v>
      </c>
      <c r="E6" s="60" t="n">
        <f aca="false">'Control Panel &amp; Inputs'!$C$58*POWER(1+'Control Panel &amp; Inputs'!$C$62,2)*E5</f>
        <v>58788412.13952</v>
      </c>
      <c r="F6" s="60" t="n">
        <f aca="false">'Control Panel &amp; Inputs'!$C$58*POWER(1+'Control Panel &amp; Inputs'!$C$62,3)*F5</f>
        <v>58788412.13952</v>
      </c>
      <c r="G6" s="60" t="n">
        <f aca="false">'Control Panel &amp; Inputs'!$C$58*POWER(1+'Control Panel &amp; Inputs'!$C$62,4)*G5</f>
        <v>58788412.13952</v>
      </c>
    </row>
    <row r="7" customFormat="false" ht="15" hidden="false" customHeight="false" outlineLevel="0" collapsed="false">
      <c r="A7" s="58" t="s">
        <v>337</v>
      </c>
      <c r="B7" s="60" t="n">
        <v>0</v>
      </c>
      <c r="C7" s="60" t="n">
        <f aca="false">'Control Panel &amp; Inputs'!$C$60*POWER((1+'Control Panel &amp; Inputs'!$C$64)*(1-'Control Panel &amp; Inputs'!$C$63),0)*C5</f>
        <v>22697652.8653517</v>
      </c>
      <c r="D7" s="60" t="n">
        <f aca="false">'Control Panel &amp; Inputs'!$C$60*POWER((1+'Control Panel &amp; Inputs'!$C$64)*(1-'Control Panel &amp; Inputs'!$C$63),1)*D5</f>
        <v>26795840.1882624</v>
      </c>
      <c r="E7" s="60" t="n">
        <f aca="false">'Control Panel &amp; Inputs'!$C$60*POWER((1+'Control Panel &amp; Inputs'!$C$64)*(1-'Control Panel &amp; Inputs'!$C$63),2)*E5</f>
        <v>28470580.2000288</v>
      </c>
      <c r="F7" s="60" t="n">
        <f aca="false">'Control Panel &amp; Inputs'!$C$60*POWER((1+'Control Panel &amp; Inputs'!$C$64)*(1-'Control Panel &amp; Inputs'!$C$63),3)*F5</f>
        <v>30249991.4625306</v>
      </c>
      <c r="G7" s="60" t="n">
        <f aca="false">'Control Panel &amp; Inputs'!$C$60*POWER((1+'Control Panel &amp; Inputs'!$C$64)*(1-'Control Panel &amp; Inputs'!$C$63),4)*G5</f>
        <v>32140615.9289388</v>
      </c>
    </row>
    <row r="8" customFormat="false" ht="15" hidden="false" customHeight="false" outlineLevel="0" collapsed="false">
      <c r="A8" s="58" t="s">
        <v>338</v>
      </c>
      <c r="B8" s="60" t="n">
        <v>0</v>
      </c>
      <c r="C8" s="60" t="n">
        <f aca="false">C6+C7</f>
        <v>75607223.7909197</v>
      </c>
      <c r="D8" s="60" t="n">
        <f aca="false">D6+D7</f>
        <v>85584252.3277824</v>
      </c>
      <c r="E8" s="60" t="n">
        <f aca="false">E6+E7</f>
        <v>87258992.3395488</v>
      </c>
      <c r="F8" s="60" t="n">
        <f aca="false">F6+F7</f>
        <v>89038403.6020506</v>
      </c>
      <c r="G8" s="60" t="n">
        <f aca="false">G6+G7</f>
        <v>90929028.0684588</v>
      </c>
    </row>
    <row r="9" customFormat="false" ht="15" hidden="false" customHeight="false" outlineLevel="0" collapsed="false">
      <c r="A9" s="58" t="s">
        <v>339</v>
      </c>
      <c r="B9" s="61" t="n">
        <v>0</v>
      </c>
      <c r="C9" s="61" t="n">
        <f aca="false">'Control Panel &amp; Inputs'!$C$41*POWER(1+'Control Panel &amp; Inputs'!$C$42,0)</f>
        <v>0.06</v>
      </c>
      <c r="D9" s="61" t="n">
        <f aca="false">'Control Panel &amp; Inputs'!$C$41*POWER(1+'Control Panel &amp; Inputs'!$C$42,1)</f>
        <v>0.0612</v>
      </c>
      <c r="E9" s="61" t="n">
        <f aca="false">'Control Panel &amp; Inputs'!$C$41*POWER(1+'Control Panel &amp; Inputs'!$C$42,2)</f>
        <v>0.062424</v>
      </c>
      <c r="F9" s="61" t="n">
        <f aca="false">'Control Panel &amp; Inputs'!$C$41*POWER(1+'Control Panel &amp; Inputs'!$C$42,3)</f>
        <v>0.06367248</v>
      </c>
      <c r="G9" s="61" t="n">
        <f aca="false">'Control Panel &amp; Inputs'!$C$41*POWER(1+'Control Panel &amp; Inputs'!$C$42,4)</f>
        <v>0.0649459296</v>
      </c>
    </row>
    <row r="10" customFormat="false" ht="15" hidden="false" customHeight="false" outlineLevel="0" collapsed="false">
      <c r="A10" s="58" t="s">
        <v>340</v>
      </c>
      <c r="B10" s="62" t="n">
        <v>0</v>
      </c>
      <c r="C10" s="62" t="n">
        <f aca="false">'Thermal Hydraulics &amp; MLC'!$B$28*1000</f>
        <v>66124161.3024</v>
      </c>
      <c r="D10" s="62" t="n">
        <f aca="false">'Thermal Hydraulics &amp; MLC'!$B$28*1000</f>
        <v>66124161.3024</v>
      </c>
      <c r="E10" s="62" t="n">
        <f aca="false">'Thermal Hydraulics &amp; MLC'!$B$28*1000</f>
        <v>66124161.3024</v>
      </c>
      <c r="F10" s="62" t="n">
        <f aca="false">'Thermal Hydraulics &amp; MLC'!$B$28*1000</f>
        <v>66124161.3024</v>
      </c>
      <c r="G10" s="62" t="n">
        <f aca="false">'Thermal Hydraulics &amp; MLC'!$B$28*1000</f>
        <v>66124161.3024</v>
      </c>
    </row>
    <row r="11" customFormat="false" ht="15" hidden="false" customHeight="false" outlineLevel="0" collapsed="false">
      <c r="A11" s="58" t="s">
        <v>341</v>
      </c>
      <c r="B11" s="60" t="n">
        <v>0</v>
      </c>
      <c r="C11" s="60" t="n">
        <f aca="false">C10*C9</f>
        <v>3967449.678144</v>
      </c>
      <c r="D11" s="60" t="n">
        <f aca="false">D10*D9</f>
        <v>4046798.67170688</v>
      </c>
      <c r="E11" s="60" t="n">
        <f aca="false">E10*E9</f>
        <v>4127734.64514102</v>
      </c>
      <c r="F11" s="60" t="n">
        <f aca="false">F10*F9</f>
        <v>4210289.33804384</v>
      </c>
      <c r="G11" s="60" t="n">
        <f aca="false">G10*G9</f>
        <v>4294495.12480471</v>
      </c>
    </row>
    <row r="12" customFormat="false" ht="15" hidden="false" customHeight="false" outlineLevel="0" collapsed="false">
      <c r="A12" s="58" t="s">
        <v>342</v>
      </c>
      <c r="B12" s="60" t="n">
        <v>0</v>
      </c>
      <c r="C12" s="60" t="n">
        <f aca="false">'Control Panel &amp; Inputs'!$C$55*POWER(1+'Control Panel &amp; Inputs'!$C$56,0)</f>
        <v>10875424</v>
      </c>
      <c r="D12" s="60" t="n">
        <f aca="false">'Control Panel &amp; Inputs'!$C$55*POWER(1+'Control Panel &amp; Inputs'!$C$56,1)</f>
        <v>11201686.72</v>
      </c>
      <c r="E12" s="60" t="n">
        <f aca="false">'Control Panel &amp; Inputs'!$C$55*POWER(1+'Control Panel &amp; Inputs'!$C$56,2)</f>
        <v>11537737.3216</v>
      </c>
      <c r="F12" s="60" t="n">
        <f aca="false">'Control Panel &amp; Inputs'!$C$55*POWER(1+'Control Panel &amp; Inputs'!$C$56,3)</f>
        <v>11883869.441248</v>
      </c>
      <c r="G12" s="60" t="n">
        <f aca="false">'Control Panel &amp; Inputs'!$C$55*POWER(1+'Control Panel &amp; Inputs'!$C$56,4)</f>
        <v>12240385.5244854</v>
      </c>
    </row>
    <row r="13" customFormat="false" ht="15" hidden="false" customHeight="false" outlineLevel="0" collapsed="false">
      <c r="A13" s="58" t="s">
        <v>343</v>
      </c>
      <c r="B13" s="60" t="n">
        <v>0</v>
      </c>
      <c r="C13" s="60" t="n">
        <f aca="false">C11+C12</f>
        <v>14842873.678144</v>
      </c>
      <c r="D13" s="60" t="n">
        <f aca="false">D11+D12</f>
        <v>15248485.3917069</v>
      </c>
      <c r="E13" s="60" t="n">
        <f aca="false">E11+E12</f>
        <v>15665471.966741</v>
      </c>
      <c r="F13" s="60" t="n">
        <f aca="false">F11+F12</f>
        <v>16094158.7792918</v>
      </c>
      <c r="G13" s="60" t="n">
        <f aca="false">G11+G12</f>
        <v>16534880.6492902</v>
      </c>
    </row>
    <row r="14" customFormat="false" ht="15" hidden="false" customHeight="false" outlineLevel="0" collapsed="false">
      <c r="A14" s="58" t="s">
        <v>344</v>
      </c>
      <c r="B14" s="60" t="n">
        <v>0</v>
      </c>
      <c r="C14" s="60" t="n">
        <f aca="false">C8-C13</f>
        <v>60764350.1127757</v>
      </c>
      <c r="D14" s="60" t="n">
        <f aca="false">D8-D13</f>
        <v>70335766.9360755</v>
      </c>
      <c r="E14" s="60" t="n">
        <f aca="false">E8-E13</f>
        <v>71593520.3728078</v>
      </c>
      <c r="F14" s="60" t="n">
        <f aca="false">F8-F13</f>
        <v>72944244.8227588</v>
      </c>
      <c r="G14" s="60" t="n">
        <f aca="false">G8-G13</f>
        <v>74394147.4191686</v>
      </c>
    </row>
    <row r="15" customFormat="false" ht="15" hidden="false" customHeight="false" outlineLevel="0" collapsed="false">
      <c r="A15" s="58" t="s">
        <v>345</v>
      </c>
      <c r="B15" s="59" t="n">
        <v>0</v>
      </c>
      <c r="C15" s="59" t="n">
        <f aca="false">C14/C8</f>
        <v>0.803684450586498</v>
      </c>
      <c r="D15" s="59" t="n">
        <f aca="false">D14/D8</f>
        <v>0.821830710943105</v>
      </c>
      <c r="E15" s="59" t="n">
        <f aca="false">E14/E8</f>
        <v>0.820471546293105</v>
      </c>
      <c r="F15" s="59" t="n">
        <f aca="false">F14/F8</f>
        <v>0.819244751385893</v>
      </c>
      <c r="G15" s="59" t="n">
        <f aca="false">G14/G8</f>
        <v>0.818156192796415</v>
      </c>
    </row>
    <row r="16" customFormat="false" ht="15" hidden="false" customHeight="false" outlineLevel="0" collapsed="false">
      <c r="A16" s="58" t="s">
        <v>346</v>
      </c>
      <c r="B16" s="60" t="n">
        <f aca="false">'Control Panel &amp; Inputs'!$C$44</f>
        <v>335117200</v>
      </c>
      <c r="C16" s="60" t="n">
        <v>0</v>
      </c>
      <c r="D16" s="60" t="n">
        <v>0</v>
      </c>
      <c r="E16" s="60" t="n">
        <v>0</v>
      </c>
      <c r="F16" s="60" t="n">
        <v>0</v>
      </c>
      <c r="G16" s="60" t="n">
        <v>0</v>
      </c>
    </row>
    <row r="17" customFormat="false" ht="15" hidden="false" customHeight="false" outlineLevel="0" collapsed="false">
      <c r="A17" s="58" t="s">
        <v>347</v>
      </c>
      <c r="B17" s="60" t="n">
        <f aca="false">B16*'Control Panel &amp; Inputs'!$C$46</f>
        <v>268093760</v>
      </c>
      <c r="C17" s="60" t="n">
        <v>0</v>
      </c>
      <c r="D17" s="60" t="n">
        <v>0</v>
      </c>
      <c r="E17" s="60" t="n">
        <v>0</v>
      </c>
      <c r="F17" s="60" t="n">
        <v>0</v>
      </c>
      <c r="G17" s="60" t="n">
        <v>0</v>
      </c>
    </row>
    <row r="18" customFormat="false" ht="15" hidden="false" customHeight="false" outlineLevel="0" collapsed="false">
      <c r="A18" s="58" t="s">
        <v>348</v>
      </c>
      <c r="B18" s="60" t="n">
        <f aca="false">B16-B17</f>
        <v>67023440</v>
      </c>
      <c r="C18" s="60" t="n">
        <v>0</v>
      </c>
      <c r="D18" s="60" t="n">
        <v>0</v>
      </c>
      <c r="E18" s="60" t="n">
        <v>0</v>
      </c>
      <c r="F18" s="60" t="n">
        <v>0</v>
      </c>
      <c r="G18" s="60" t="n">
        <v>0</v>
      </c>
    </row>
    <row r="19" customFormat="false" ht="15" hidden="false" customHeight="false" outlineLevel="0" collapsed="false">
      <c r="A19" s="58" t="s">
        <v>349</v>
      </c>
      <c r="B19" s="60" t="n">
        <v>0</v>
      </c>
      <c r="C19" s="60" t="n">
        <f aca="false">B17</f>
        <v>268093760</v>
      </c>
      <c r="D19" s="60" t="n">
        <f aca="false">C23</f>
        <v>221007236.429628</v>
      </c>
      <c r="E19" s="60" t="n">
        <f aca="false">D23</f>
        <v>170860088.827183</v>
      </c>
      <c r="F19" s="60" t="n">
        <f aca="false">E23</f>
        <v>117453376.630578</v>
      </c>
      <c r="G19" s="60" t="n">
        <f aca="false">F23</f>
        <v>60575228.141194</v>
      </c>
    </row>
    <row r="20" customFormat="false" ht="15" hidden="false" customHeight="false" outlineLevel="0" collapsed="false">
      <c r="A20" s="58" t="s">
        <v>350</v>
      </c>
      <c r="B20" s="60" t="n">
        <v>0</v>
      </c>
      <c r="C20" s="60" t="n">
        <f aca="false">IF(1&lt;='Control Panel &amp; Inputs'!$C$48,-PMT('Control Panel &amp; Inputs'!$C$47,'Control Panel &amp; Inputs'!$C$48,B17),0)</f>
        <v>64512617.9703716</v>
      </c>
      <c r="D20" s="60" t="n">
        <f aca="false">IF(2&lt;='Control Panel &amp; Inputs'!$C$48,-PMT('Control Panel &amp; Inputs'!$C$47,'Control Panel &amp; Inputs'!$C$48,B17),0)</f>
        <v>64512617.9703716</v>
      </c>
      <c r="E20" s="60" t="n">
        <f aca="false">IF(3&lt;='Control Panel &amp; Inputs'!$C$48,-PMT('Control Panel &amp; Inputs'!$C$47,'Control Panel &amp; Inputs'!$C$48,B17),0)</f>
        <v>64512617.9703716</v>
      </c>
      <c r="F20" s="60" t="n">
        <f aca="false">IF(4&lt;='Control Panel &amp; Inputs'!$C$48,-PMT('Control Panel &amp; Inputs'!$C$47,'Control Panel &amp; Inputs'!$C$48,B17),0)</f>
        <v>64512617.9703716</v>
      </c>
      <c r="G20" s="60" t="n">
        <f aca="false">IF(5&lt;='Control Panel &amp; Inputs'!$C$48,-PMT('Control Panel &amp; Inputs'!$C$47,'Control Panel &amp; Inputs'!$C$48,B17),0)</f>
        <v>64512617.9703716</v>
      </c>
    </row>
    <row r="21" customFormat="false" ht="15" hidden="false" customHeight="false" outlineLevel="0" collapsed="false">
      <c r="A21" s="58" t="s">
        <v>351</v>
      </c>
      <c r="B21" s="60" t="n">
        <v>0</v>
      </c>
      <c r="C21" s="60" t="n">
        <f aca="false">C19*'Control Panel &amp; Inputs'!$C$47</f>
        <v>17426094.4</v>
      </c>
      <c r="D21" s="60" t="n">
        <f aca="false">D19*'Control Panel &amp; Inputs'!$C$47</f>
        <v>14365470.3679258</v>
      </c>
      <c r="E21" s="60" t="n">
        <f aca="false">E19*'Control Panel &amp; Inputs'!$C$47</f>
        <v>11105905.7737669</v>
      </c>
      <c r="F21" s="60" t="n">
        <f aca="false">F19*'Control Panel &amp; Inputs'!$C$47</f>
        <v>7634469.48098757</v>
      </c>
      <c r="G21" s="60" t="n">
        <f aca="false">G19*'Control Panel &amp; Inputs'!$C$47</f>
        <v>3937389.82917761</v>
      </c>
    </row>
    <row r="22" customFormat="false" ht="15" hidden="false" customHeight="false" outlineLevel="0" collapsed="false">
      <c r="A22" s="58" t="s">
        <v>352</v>
      </c>
      <c r="B22" s="60" t="n">
        <v>0</v>
      </c>
      <c r="C22" s="60" t="n">
        <f aca="false">C20-C21</f>
        <v>47086523.5703716</v>
      </c>
      <c r="D22" s="60" t="n">
        <f aca="false">D20-D21</f>
        <v>50147147.6024457</v>
      </c>
      <c r="E22" s="60" t="n">
        <f aca="false">E20-E21</f>
        <v>53406712.1966047</v>
      </c>
      <c r="F22" s="60" t="n">
        <f aca="false">F20-F21</f>
        <v>56878148.489384</v>
      </c>
      <c r="G22" s="60" t="n">
        <f aca="false">G20-G21</f>
        <v>60575228.141194</v>
      </c>
    </row>
    <row r="23" customFormat="false" ht="15" hidden="false" customHeight="false" outlineLevel="0" collapsed="false">
      <c r="A23" s="58" t="s">
        <v>353</v>
      </c>
      <c r="B23" s="60" t="n">
        <v>0</v>
      </c>
      <c r="C23" s="60" t="n">
        <f aca="false">C19-C22</f>
        <v>221007236.429628</v>
      </c>
      <c r="D23" s="60" t="n">
        <f aca="false">D19-D22</f>
        <v>170860088.827183</v>
      </c>
      <c r="E23" s="60" t="n">
        <f aca="false">E19-E22</f>
        <v>117453376.630578</v>
      </c>
      <c r="F23" s="60" t="n">
        <f aca="false">F19-F22</f>
        <v>60575228.141194</v>
      </c>
      <c r="G23" s="60" t="n">
        <f aca="false">G19-G22</f>
        <v>0</v>
      </c>
    </row>
    <row r="24" customFormat="false" ht="15" hidden="false" customHeight="false" outlineLevel="0" collapsed="false">
      <c r="A24" s="58" t="s">
        <v>354</v>
      </c>
      <c r="B24" s="60" t="n">
        <v>0</v>
      </c>
      <c r="C24" s="60" t="n">
        <f aca="false">IF(1&lt;='Control Panel &amp; Inputs'!$C$50,B16/'Control Panel &amp; Inputs'!$C$50,0)</f>
        <v>67023440</v>
      </c>
      <c r="D24" s="60" t="n">
        <f aca="false">IF(2&lt;='Control Panel &amp; Inputs'!$C$50,B16/'Control Panel &amp; Inputs'!$C$50,0)</f>
        <v>67023440</v>
      </c>
      <c r="E24" s="60" t="n">
        <f aca="false">IF(3&lt;='Control Panel &amp; Inputs'!$C$50,B16/'Control Panel &amp; Inputs'!$C$50,0)</f>
        <v>67023440</v>
      </c>
      <c r="F24" s="60" t="n">
        <f aca="false">IF(4&lt;='Control Panel &amp; Inputs'!$C$50,B16/'Control Panel &amp; Inputs'!$C$50,0)</f>
        <v>67023440</v>
      </c>
      <c r="G24" s="60" t="n">
        <f aca="false">IF(5&lt;='Control Panel &amp; Inputs'!$C$50,B16/'Control Panel &amp; Inputs'!$C$50,0)</f>
        <v>67023440</v>
      </c>
    </row>
    <row r="25" customFormat="false" ht="15" hidden="false" customHeight="false" outlineLevel="0" collapsed="false">
      <c r="A25" s="58" t="s">
        <v>355</v>
      </c>
      <c r="B25" s="60" t="n">
        <v>0</v>
      </c>
      <c r="C25" s="60" t="n">
        <f aca="false">MIN(C21,'Control Panel &amp; Inputs'!$C$52*C14)</f>
        <v>17426094.4</v>
      </c>
      <c r="D25" s="60" t="n">
        <f aca="false">MIN(D21,'Control Panel &amp; Inputs'!$C$52*D14)</f>
        <v>14365470.3679258</v>
      </c>
      <c r="E25" s="60" t="n">
        <f aca="false">MIN(E21,'Control Panel &amp; Inputs'!$C$52*E14)</f>
        <v>11105905.7737669</v>
      </c>
      <c r="F25" s="60" t="n">
        <f aca="false">MIN(F21,'Control Panel &amp; Inputs'!$C$52*F14)</f>
        <v>7634469.48098757</v>
      </c>
      <c r="G25" s="60" t="n">
        <f aca="false">MIN(G21,'Control Panel &amp; Inputs'!$C$52*G14)</f>
        <v>3937389.82917761</v>
      </c>
    </row>
    <row r="26" customFormat="false" ht="15" hidden="false" customHeight="false" outlineLevel="0" collapsed="false">
      <c r="A26" s="58" t="s">
        <v>356</v>
      </c>
      <c r="B26" s="60" t="n">
        <v>0</v>
      </c>
      <c r="C26" s="60" t="n">
        <f aca="false">C14-C24-C25</f>
        <v>-23685184.2872243</v>
      </c>
      <c r="D26" s="60" t="n">
        <f aca="false">D14-D24-D25</f>
        <v>-11053143.4318503</v>
      </c>
      <c r="E26" s="60" t="n">
        <f aca="false">E14-E24-E25</f>
        <v>-6535825.40095909</v>
      </c>
      <c r="F26" s="60" t="n">
        <f aca="false">F14-F24-F25</f>
        <v>-1713664.65822881</v>
      </c>
      <c r="G26" s="60" t="n">
        <f aca="false">G14-G24-G25</f>
        <v>3433317.589991</v>
      </c>
    </row>
    <row r="27" customFormat="false" ht="15" hidden="false" customHeight="false" outlineLevel="0" collapsed="false">
      <c r="A27" s="58" t="s">
        <v>357</v>
      </c>
      <c r="B27" s="60" t="n">
        <v>0</v>
      </c>
      <c r="C27" s="60" t="n">
        <f aca="false">MAX(0,C26)*'Control Panel &amp; Inputs'!$C$51</f>
        <v>0</v>
      </c>
      <c r="D27" s="60" t="n">
        <f aca="false">MAX(0,D26)*'Control Panel &amp; Inputs'!$C$51</f>
        <v>0</v>
      </c>
      <c r="E27" s="60" t="n">
        <f aca="false">MAX(0,E26)*'Control Panel &amp; Inputs'!$C$51</f>
        <v>0</v>
      </c>
      <c r="F27" s="60" t="n">
        <f aca="false">MAX(0,F26)*'Control Panel &amp; Inputs'!$C$51</f>
        <v>0</v>
      </c>
      <c r="G27" s="60" t="n">
        <f aca="false">MAX(0,G26)*'Control Panel &amp; Inputs'!$C$51</f>
        <v>308998.58309919</v>
      </c>
    </row>
    <row r="28" customFormat="false" ht="15" hidden="false" customHeight="false" outlineLevel="0" collapsed="false">
      <c r="A28" s="58" t="s">
        <v>358</v>
      </c>
      <c r="B28" s="60" t="n">
        <v>0</v>
      </c>
      <c r="C28" s="60" t="n">
        <v>0</v>
      </c>
      <c r="D28" s="60" t="n">
        <v>0</v>
      </c>
      <c r="E28" s="60" t="n">
        <v>0</v>
      </c>
      <c r="F28" s="60" t="n">
        <v>0</v>
      </c>
      <c r="G28" s="60" t="n">
        <f aca="false">'Control Panel &amp; Inputs'!$C$44*'Control Panel &amp; Inputs'!$C$45</f>
        <v>33511720</v>
      </c>
    </row>
    <row r="29" customFormat="false" ht="15" hidden="false" customHeight="false" outlineLevel="0" collapsed="false">
      <c r="A29" s="63" t="s">
        <v>359</v>
      </c>
      <c r="B29" s="64" t="n">
        <f aca="false">-B18</f>
        <v>-67023440</v>
      </c>
      <c r="C29" s="64" t="n">
        <f aca="false">C14-C20-C27+C28</f>
        <v>-3748267.8575959</v>
      </c>
      <c r="D29" s="64" t="n">
        <f aca="false">D14-D20-D27+D28</f>
        <v>5823148.96570393</v>
      </c>
      <c r="E29" s="64" t="n">
        <f aca="false">E14-E20-E27+E28</f>
        <v>7080902.40243621</v>
      </c>
      <c r="F29" s="64" t="n">
        <f aca="false">F14-F20-F27+F28</f>
        <v>8431626.85238719</v>
      </c>
      <c r="G29" s="64" t="n">
        <f aca="false">G14-G20-G27+G28</f>
        <v>43084250.8656978</v>
      </c>
    </row>
    <row r="30" customFormat="false" ht="15" hidden="false" customHeight="false" outlineLevel="0" collapsed="false">
      <c r="A30" s="58" t="s">
        <v>360</v>
      </c>
      <c r="B30" s="60" t="n">
        <f aca="false">B29</f>
        <v>-67023440</v>
      </c>
      <c r="C30" s="60" t="n">
        <f aca="false">B30+C29</f>
        <v>-70771707.8575959</v>
      </c>
      <c r="D30" s="60" t="n">
        <f aca="false">C30+D29</f>
        <v>-64948558.891892</v>
      </c>
      <c r="E30" s="60" t="n">
        <f aca="false">D30+E29</f>
        <v>-57867656.4894557</v>
      </c>
      <c r="F30" s="60" t="n">
        <f aca="false">E30+F29</f>
        <v>-49436029.6370686</v>
      </c>
      <c r="G30" s="60" t="n">
        <f aca="false">F30+G29</f>
        <v>-6351778.77137071</v>
      </c>
    </row>
    <row r="31" customFormat="false" ht="15" hidden="false" customHeight="false" outlineLevel="0" collapsed="false">
      <c r="A31" s="58" t="s">
        <v>361</v>
      </c>
      <c r="B31" s="65" t="n">
        <v>0</v>
      </c>
      <c r="C31" s="65" t="n">
        <f aca="false">IF(C20=0,"",C14/C20)</f>
        <v>0.941898686248985</v>
      </c>
      <c r="D31" s="65" t="n">
        <f aca="false">IF(D20=0,"",D14/D20)</f>
        <v>1.09026372125184</v>
      </c>
      <c r="E31" s="65" t="n">
        <f aca="false">IF(E20=0,"",E14/E20)</f>
        <v>1.10975996053498</v>
      </c>
      <c r="F31" s="65" t="n">
        <f aca="false">IF(F20=0,"",F14/F20)</f>
        <v>1.13069732895136</v>
      </c>
      <c r="G31" s="65" t="n">
        <f aca="false">IF(G20=0,"",G14/G20)</f>
        <v>1.15317204230241</v>
      </c>
    </row>
    <row r="32" customFormat="false" ht="15" hidden="false" customHeight="false" outlineLevel="0" collapsed="false">
      <c r="A32" s="58" t="s">
        <v>362</v>
      </c>
      <c r="B32" s="60" t="n">
        <v>0</v>
      </c>
      <c r="C32" s="60" t="n">
        <f aca="false">MAX(0,C14-C24)*'Control Panel &amp; Inputs'!$C$51</f>
        <v>0</v>
      </c>
      <c r="D32" s="60" t="n">
        <f aca="false">MAX(0,D14-D24)*'Control Panel &amp; Inputs'!$C$51</f>
        <v>298109.424246796</v>
      </c>
      <c r="E32" s="60" t="n">
        <f aca="false">MAX(0,E14-E24)*'Control Panel &amp; Inputs'!$C$51</f>
        <v>411307.233552701</v>
      </c>
      <c r="F32" s="60" t="n">
        <f aca="false">MAX(0,F14-F24)*'Control Panel &amp; Inputs'!$C$51</f>
        <v>532872.434048289</v>
      </c>
      <c r="G32" s="60" t="n">
        <f aca="false">MAX(0,G14-G24)*'Control Panel &amp; Inputs'!$C$51</f>
        <v>663363.667725175</v>
      </c>
    </row>
    <row r="33" customFormat="false" ht="15" hidden="false" customHeight="false" outlineLevel="0" collapsed="false">
      <c r="A33" s="58" t="s">
        <v>363</v>
      </c>
      <c r="B33" s="60" t="n">
        <f aca="false">-B16</f>
        <v>-335117200</v>
      </c>
      <c r="C33" s="60" t="n">
        <f aca="false">C14-C32+C28</f>
        <v>60764350.1127757</v>
      </c>
      <c r="D33" s="60" t="n">
        <f aca="false">D14-D32+D28</f>
        <v>70037657.5118287</v>
      </c>
      <c r="E33" s="60" t="n">
        <f aca="false">E14-E32+E28</f>
        <v>71182213.1392551</v>
      </c>
      <c r="F33" s="60" t="n">
        <f aca="false">F14-F32+F28</f>
        <v>72411372.3887105</v>
      </c>
      <c r="G33" s="60" t="n">
        <f aca="false">G14-G32+G28</f>
        <v>107242503.751443</v>
      </c>
    </row>
    <row r="35" customFormat="false" ht="15" hidden="false" customHeight="false" outlineLevel="0" collapsed="false">
      <c r="A35" s="66" t="s">
        <v>364</v>
      </c>
    </row>
    <row r="36" customFormat="false" ht="15" hidden="false" customHeight="false" outlineLevel="0" collapsed="false">
      <c r="A36" s="67" t="s">
        <v>6</v>
      </c>
      <c r="B36" s="68" t="n">
        <f aca="false">IRR(B29:G29)</f>
        <v>-0.0214572858678818</v>
      </c>
    </row>
    <row r="37" customFormat="false" ht="15" hidden="false" customHeight="false" outlineLevel="0" collapsed="false">
      <c r="A37" s="67" t="s">
        <v>9</v>
      </c>
      <c r="B37" s="68" t="n">
        <f aca="false">IRR(B33:G33)</f>
        <v>0.0413579090753861</v>
      </c>
    </row>
    <row r="38" customFormat="false" ht="15" hidden="false" customHeight="false" outlineLevel="0" collapsed="false">
      <c r="A38" s="67" t="s">
        <v>10</v>
      </c>
      <c r="B38" s="69" t="n">
        <f aca="false">B29+NPV('Control Panel &amp; Inputs'!$C$53,C29:G29)</f>
        <v>-34982560.663758</v>
      </c>
    </row>
    <row r="39" customFormat="false" ht="15" hidden="false" customHeight="false" outlineLevel="0" collapsed="false">
      <c r="A39" s="67" t="s">
        <v>365</v>
      </c>
      <c r="B39" s="70" t="n">
        <f aca="false">SUM(C29:G29)/-B29</f>
        <v>0.905230486955449</v>
      </c>
    </row>
    <row r="40" customFormat="false" ht="15" hidden="false" customHeight="false" outlineLevel="0" collapsed="false">
      <c r="A40" s="67" t="s">
        <v>14</v>
      </c>
      <c r="B40" s="71" t="str">
        <f aca="false">IFERROR(COUNTIF(B30:G30,"&lt;0")-1+ABS(INDEX(B30:G30,COUNTIF(B30:G30,"&lt;0")))/INDEX(B29:G29,COUNTIF(B30:G30,"&lt;0")+1),"&gt;5 yrs")</f>
        <v>&gt;5 yrs</v>
      </c>
    </row>
    <row r="41" customFormat="false" ht="15" hidden="false" customHeight="false" outlineLevel="0" collapsed="false">
      <c r="A41" s="67" t="s">
        <v>16</v>
      </c>
      <c r="B41" s="70" t="n">
        <f aca="false">MIN(C31:G31)</f>
        <v>0.941898686248985</v>
      </c>
    </row>
    <row r="42" customFormat="false" ht="15" hidden="false" customHeight="false" outlineLevel="0" collapsed="false">
      <c r="A42" s="67" t="s">
        <v>366</v>
      </c>
      <c r="B42" s="70" t="n">
        <f aca="false">AVERAGE(C31:G31)</f>
        <v>1.08515834785792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9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44"/>
    <col collapsed="false" customWidth="true" hidden="false" outlineLevel="0" max="6" min="5" style="0" width="14"/>
  </cols>
  <sheetData>
    <row r="1" customFormat="false" ht="25.5" hidden="false" customHeight="true" outlineLevel="0" collapsed="false">
      <c r="A1" s="1" t="s">
        <v>367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368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1</v>
      </c>
      <c r="B4" s="3" t="s">
        <v>2</v>
      </c>
      <c r="C4" s="3" t="s">
        <v>3</v>
      </c>
      <c r="D4" s="3" t="s">
        <v>369</v>
      </c>
    </row>
    <row r="5" customFormat="false" ht="15" hidden="false" customHeight="false" outlineLevel="0" collapsed="false">
      <c r="A5" s="18" t="s">
        <v>37</v>
      </c>
      <c r="B5" s="53" t="n">
        <f aca="false">'Control Panel &amp; Inputs'!$C$19*'Control Panel &amp; Inputs'!$C$14</f>
        <v>2304</v>
      </c>
      <c r="C5" s="18" t="s">
        <v>38</v>
      </c>
      <c r="D5" s="18" t="s">
        <v>370</v>
      </c>
    </row>
    <row r="6" customFormat="false" ht="15" hidden="false" customHeight="false" outlineLevel="0" collapsed="false">
      <c r="A6" s="6" t="s">
        <v>371</v>
      </c>
      <c r="B6" s="57" t="n">
        <f aca="false">B5*8760*'Control Panel &amp; Inputs'!$C$38</f>
        <v>20082124.8</v>
      </c>
      <c r="C6" s="6" t="s">
        <v>372</v>
      </c>
      <c r="D6" s="6" t="s">
        <v>373</v>
      </c>
    </row>
    <row r="7" customFormat="false" ht="15" hidden="false" customHeight="false" outlineLevel="0" collapsed="false">
      <c r="A7" s="18" t="s">
        <v>374</v>
      </c>
      <c r="B7" s="53" t="n">
        <f aca="false">B6*'Control Panel &amp; Inputs'!$C$37</f>
        <v>17069806.08</v>
      </c>
      <c r="C7" s="18" t="s">
        <v>372</v>
      </c>
      <c r="D7" s="18" t="s">
        <v>375</v>
      </c>
    </row>
    <row r="8" customFormat="false" ht="15" hidden="false" customHeight="false" outlineLevel="0" collapsed="false">
      <c r="A8" s="6" t="s">
        <v>42</v>
      </c>
      <c r="B8" s="72" t="n">
        <f aca="false">'Pro Forma Financials'!D$8/B7</f>
        <v>5.01378</v>
      </c>
      <c r="C8" s="6" t="s">
        <v>43</v>
      </c>
      <c r="D8" s="6" t="s">
        <v>376</v>
      </c>
    </row>
    <row r="9" customFormat="false" ht="15" hidden="false" customHeight="false" outlineLevel="0" collapsed="false">
      <c r="A9" s="18" t="s">
        <v>377</v>
      </c>
      <c r="B9" s="73" t="n">
        <f aca="false">'Pro Forma Financials'!D$13/B7</f>
        <v>0.893301618087678</v>
      </c>
      <c r="C9" s="18" t="s">
        <v>43</v>
      </c>
      <c r="D9" s="18" t="s">
        <v>378</v>
      </c>
    </row>
    <row r="10" customFormat="false" ht="15" hidden="false" customHeight="false" outlineLevel="0" collapsed="false">
      <c r="A10" s="6" t="s">
        <v>379</v>
      </c>
      <c r="B10" s="72" t="n">
        <f aca="false">B8-B9</f>
        <v>4.12047838191232</v>
      </c>
      <c r="C10" s="6" t="s">
        <v>43</v>
      </c>
      <c r="D10" s="6" t="s">
        <v>380</v>
      </c>
    </row>
    <row r="11" customFormat="false" ht="15" hidden="false" customHeight="false" outlineLevel="0" collapsed="false">
      <c r="A11" s="18" t="s">
        <v>40</v>
      </c>
      <c r="B11" s="74" t="n">
        <f aca="false">'Control Panel &amp; Inputs'!$C$44/B5</f>
        <v>145450.173611111</v>
      </c>
      <c r="C11" s="18" t="s">
        <v>41</v>
      </c>
      <c r="D11" s="18" t="s">
        <v>381</v>
      </c>
    </row>
    <row r="12" customFormat="false" ht="15" hidden="false" customHeight="false" outlineLevel="0" collapsed="false">
      <c r="A12" s="6" t="s">
        <v>382</v>
      </c>
      <c r="B12" s="75" t="n">
        <f aca="false">'Control Panel &amp; Inputs'!$C$44/('Thermal Hydraulics &amp; MLC'!$B$8/1000)</f>
        <v>40551452.0813166</v>
      </c>
      <c r="C12" s="6" t="s">
        <v>152</v>
      </c>
      <c r="D12" s="6" t="s">
        <v>383</v>
      </c>
    </row>
    <row r="13" customFormat="false" ht="15" hidden="false" customHeight="false" outlineLevel="0" collapsed="false">
      <c r="A13" s="18" t="s">
        <v>384</v>
      </c>
      <c r="B13" s="74" t="n">
        <f aca="false">'Pro Forma Financials'!D$8/('Thermal Hydraulics &amp; MLC'!$B$8/1000)</f>
        <v>10356274.4830327</v>
      </c>
      <c r="C13" s="18" t="s">
        <v>176</v>
      </c>
      <c r="D13" s="18" t="s">
        <v>385</v>
      </c>
    </row>
    <row r="14" customFormat="false" ht="15" hidden="false" customHeight="false" outlineLevel="0" collapsed="false">
      <c r="A14" s="6" t="s">
        <v>386</v>
      </c>
      <c r="B14" s="49" t="n">
        <f aca="false">B5*'Control Panel &amp; Inputs'!$C$40*'Control Panel &amp; Inputs'!$C$39*3600*8760*'Control Panel &amp; Inputs'!$C$37*'Control Panel &amp; Inputs'!$C$38/1000000000000</f>
        <v>33.18370301952</v>
      </c>
      <c r="C14" s="6" t="s">
        <v>387</v>
      </c>
      <c r="D14" s="6" t="s">
        <v>388</v>
      </c>
    </row>
    <row r="15" customFormat="false" ht="15" hidden="false" customHeight="false" outlineLevel="0" collapsed="false">
      <c r="A15" s="18" t="s">
        <v>389</v>
      </c>
      <c r="B15" s="73" t="n">
        <f aca="false">'Pro Forma Financials'!D$7/(B14*1000000)</f>
        <v>0.8075</v>
      </c>
      <c r="C15" s="18" t="s">
        <v>45</v>
      </c>
      <c r="D15" s="18" t="s">
        <v>390</v>
      </c>
    </row>
    <row r="16" customFormat="false" ht="15" hidden="false" customHeight="false" outlineLevel="0" collapsed="false">
      <c r="A16" s="6" t="s">
        <v>44</v>
      </c>
      <c r="B16" s="72" t="n">
        <f aca="false">'Pro Forma Financials'!D$13*'Control Panel &amp; Inputs'!$C$40/(B14*1000000)</f>
        <v>0.137855187976494</v>
      </c>
      <c r="C16" s="6" t="s">
        <v>45</v>
      </c>
      <c r="D16" s="6" t="s">
        <v>391</v>
      </c>
    </row>
    <row r="17" customFormat="false" ht="15" hidden="false" customHeight="false" outlineLevel="0" collapsed="false">
      <c r="A17" s="18" t="s">
        <v>46</v>
      </c>
      <c r="B17" s="56" t="n">
        <f aca="false">'Pro Forma Financials'!D$11/'Pro Forma Financials'!D$8</f>
        <v>0.0472843842370427</v>
      </c>
      <c r="C17" s="18" t="s">
        <v>7</v>
      </c>
      <c r="D17" s="18" t="s">
        <v>392</v>
      </c>
    </row>
    <row r="18" customFormat="false" ht="15" hidden="false" customHeight="false" outlineLevel="0" collapsed="false">
      <c r="A18" s="6" t="s">
        <v>393</v>
      </c>
      <c r="B18" s="76" t="n">
        <f aca="false">('Pro Forma Financials'!D$8-'Pro Forma Financials'!D$12)/'Pro Forma Financials'!D$10</f>
        <v>1.12489238642461</v>
      </c>
      <c r="C18" s="6" t="s">
        <v>48</v>
      </c>
      <c r="D18" s="6" t="s">
        <v>394</v>
      </c>
    </row>
    <row r="19" customFormat="false" ht="15" hidden="false" customHeight="false" outlineLevel="0" collapsed="false">
      <c r="A19" s="18" t="s">
        <v>395</v>
      </c>
      <c r="B19" s="74" t="n">
        <f aca="false">'Pro Forma Financials'!D$20+'Pro Forma Financials'!D$13</f>
        <v>79761103.3620785</v>
      </c>
      <c r="C19" s="18" t="s">
        <v>57</v>
      </c>
      <c r="D19" s="18" t="s">
        <v>396</v>
      </c>
    </row>
    <row r="20" customFormat="false" ht="15" hidden="false" customHeight="false" outlineLevel="0" collapsed="false">
      <c r="A20" s="6" t="s">
        <v>397</v>
      </c>
      <c r="B20" s="77" t="n">
        <f aca="false">1-B19/'Pro Forma Financials'!D$8</f>
        <v>0.0680399583722673</v>
      </c>
      <c r="C20" s="6" t="s">
        <v>7</v>
      </c>
      <c r="D20" s="6" t="s">
        <v>398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N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14" min="2" style="0" width="18"/>
  </cols>
  <sheetData>
    <row r="1" customFormat="false" ht="25.5" hidden="false" customHeight="true" outlineLevel="0" collapsed="false">
      <c r="A1" s="1" t="s">
        <v>399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true" outlineLevel="0" collapsed="false">
      <c r="A2" s="2" t="s">
        <v>400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A4" s="3" t="s">
        <v>401</v>
      </c>
      <c r="B4" s="3" t="s">
        <v>402</v>
      </c>
      <c r="C4" s="3" t="s">
        <v>403</v>
      </c>
      <c r="D4" s="3" t="s">
        <v>404</v>
      </c>
      <c r="E4" s="3" t="s">
        <v>405</v>
      </c>
      <c r="F4" s="3" t="s">
        <v>406</v>
      </c>
      <c r="G4" s="3" t="s">
        <v>407</v>
      </c>
      <c r="H4" s="3" t="s">
        <v>408</v>
      </c>
      <c r="I4" s="3" t="s">
        <v>409</v>
      </c>
      <c r="J4" s="3" t="s">
        <v>410</v>
      </c>
      <c r="K4" s="3" t="s">
        <v>411</v>
      </c>
      <c r="L4" s="3" t="s">
        <v>412</v>
      </c>
      <c r="M4" s="3" t="s">
        <v>413</v>
      </c>
      <c r="N4" s="3" t="s">
        <v>414</v>
      </c>
    </row>
    <row r="5" customFormat="false" ht="15" hidden="false" customHeight="false" outlineLevel="0" collapsed="false">
      <c r="A5" s="6" t="str">
        <f aca="false">TEXT($B5,"$0.00")&amp;"/kWh @ "&amp;TEXT($C5,"0%")&amp;" debt"</f>
        <v>$0.04/kWh @ 50% debt</v>
      </c>
      <c r="B5" s="78" t="n">
        <v>0.04</v>
      </c>
      <c r="C5" s="79" t="n">
        <v>0.5</v>
      </c>
      <c r="D5" s="80" t="n">
        <f aca="false">'Control Panel &amp; Inputs'!$C$44*$C5</f>
        <v>167558600</v>
      </c>
      <c r="E5" s="80" t="n">
        <f aca="false">'Control Panel &amp; Inputs'!$C$44-$D5</f>
        <v>167558600</v>
      </c>
      <c r="F5" s="80" t="n">
        <f aca="false">-PMT('Control Panel &amp; Inputs'!$C$47,'Control Panel &amp; Inputs'!$C$48,$D5)</f>
        <v>40320386.2314822</v>
      </c>
      <c r="G5" s="80" t="n">
        <f aca="false">-$E5</f>
        <v>-167558600</v>
      </c>
      <c r="H5" s="80" t="n">
        <f aca="false">B23-IF(1&lt;='Control Panel &amp; Inputs'!$C$48,$F5,0)-MAX(0,B23-IF(1&lt;='Control Panel &amp; Inputs'!$C$50,'Control Panel &amp; Inputs'!$C$44/'Control Panel &amp; Inputs'!$C$50,0)-MIN(IF(1&lt;='Control Panel &amp; Inputs'!$C$48,-IPMT('Control Panel &amp; Inputs'!$C$47,1,'Control Panel &amp; Inputs'!$C$48,$D5),0),'Control Panel &amp; Inputs'!$C$52*B23))*'Control Panel &amp; Inputs'!$C$51</f>
        <v>21766447.1073414</v>
      </c>
      <c r="I5" s="80" t="n">
        <f aca="false">C23-IF(2&lt;='Control Panel &amp; Inputs'!$C$48,$F5,0)-MAX(0,C23-IF(2&lt;='Control Panel &amp; Inputs'!$C$50,'Control Panel &amp; Inputs'!$C$44/'Control Panel &amp; Inputs'!$C$50,0)-MIN(IF(2&lt;='Control Panel &amp; Inputs'!$C$48,-IPMT('Control Panel &amp; Inputs'!$C$47,2,'Control Panel &amp; Inputs'!$C$48,$D5),0),'Control Panel &amp; Inputs'!$C$52*C23))*'Control Panel &amp; Inputs'!$C$51</f>
        <v>31364313.5951622</v>
      </c>
      <c r="J5" s="80" t="n">
        <f aca="false">D23-IF(3&lt;='Control Panel &amp; Inputs'!$C$48,$F5,0)-MAX(0,D23-IF(3&lt;='Control Panel &amp; Inputs'!$C$50,'Control Panel &amp; Inputs'!$C$44/'Control Panel &amp; Inputs'!$C$50,0)-MIN(IF(3&lt;='Control Panel &amp; Inputs'!$C$48,-IPMT('Control Panel &amp; Inputs'!$C$47,3,'Control Panel &amp; Inputs'!$C$48,$D5),0),'Control Panel &amp; Inputs'!$C$52*D23))*'Control Panel &amp; Inputs'!$C$51</f>
        <v>32649045.6897059</v>
      </c>
      <c r="K5" s="80" t="n">
        <f aca="false">E23-IF(4&lt;='Control Panel &amp; Inputs'!$C$48,$F5,0)-MAX(0,E23-IF(4&lt;='Control Panel &amp; Inputs'!$C$50,'Control Panel &amp; Inputs'!$C$44/'Control Panel &amp; Inputs'!$C$50,0)-MIN(IF(4&lt;='Control Panel &amp; Inputs'!$C$48,-IPMT('Control Panel &amp; Inputs'!$C$47,4,'Control Panel &amp; Inputs'!$C$48,$D5),0),'Control Panel &amp; Inputs'!$C$52*E23))*'Control Panel &amp; Inputs'!$C$51</f>
        <v>33797546.1647404</v>
      </c>
      <c r="L5" s="80" t="n">
        <f aca="false">F23-IF(5&lt;='Control Panel &amp; Inputs'!$C$48,$F5,0)-MAX(0,F23-IF(5&lt;='Control Panel &amp; Inputs'!$C$50,'Control Panel &amp; Inputs'!$C$44/'Control Panel &amp; Inputs'!$C$50,0)-MIN(IF(5&lt;='Control Panel &amp; Inputs'!$C$48,-IPMT('Control Panel &amp; Inputs'!$C$47,5,'Control Panel &amp; Inputs'!$C$48,$D5),0),'Control Panel &amp; Inputs'!$C$52*F23))*'Control Panel &amp; Inputs'!$C$51+'Control Panel &amp; Inputs'!$C$44*'Control Panel &amp; Inputs'!$C$45</f>
        <v>68446259.2190432</v>
      </c>
      <c r="M5" s="81" t="n">
        <f aca="false">IRR(G5:L5)</f>
        <v>0.0337070096722301</v>
      </c>
      <c r="N5" s="82" t="n">
        <f aca="false">AVERAGE(B23:F23)/$F5</f>
        <v>1.77039120326773</v>
      </c>
    </row>
    <row r="6" customFormat="false" ht="15" hidden="false" customHeight="false" outlineLevel="0" collapsed="false">
      <c r="A6" s="6" t="str">
        <f aca="false">TEXT($B6,"$0.00")&amp;"/kWh @ "&amp;TEXT($C6,"0%")&amp;" debt"</f>
        <v>$0.04/kWh @ 60% debt</v>
      </c>
      <c r="B6" s="78" t="n">
        <v>0.04</v>
      </c>
      <c r="C6" s="79" t="n">
        <v>0.6</v>
      </c>
      <c r="D6" s="80" t="n">
        <f aca="false">'Control Panel &amp; Inputs'!$C$44*$C6</f>
        <v>201070320</v>
      </c>
      <c r="E6" s="80" t="n">
        <f aca="false">'Control Panel &amp; Inputs'!$C$44-$D6</f>
        <v>134046880</v>
      </c>
      <c r="F6" s="80" t="n">
        <f aca="false">-PMT('Control Panel &amp; Inputs'!$C$47,'Control Panel &amp; Inputs'!$C$48,$D6)</f>
        <v>48384463.4777787</v>
      </c>
      <c r="G6" s="80" t="n">
        <f aca="false">-$E6</f>
        <v>-134046880</v>
      </c>
      <c r="H6" s="80" t="n">
        <f aca="false">B24-IF(1&lt;='Control Panel &amp; Inputs'!$C$48,$F6,0)-MAX(0,B24-IF(1&lt;='Control Panel &amp; Inputs'!$C$50,'Control Panel &amp; Inputs'!$C$44/'Control Panel &amp; Inputs'!$C$50,0)-MIN(IF(1&lt;='Control Panel &amp; Inputs'!$C$48,-IPMT('Control Panel &amp; Inputs'!$C$47,1,'Control Panel &amp; Inputs'!$C$48,$D6),0),'Control Panel &amp; Inputs'!$C$52*B24))*'Control Panel &amp; Inputs'!$C$51</f>
        <v>13702369.861045</v>
      </c>
      <c r="I6" s="80" t="n">
        <f aca="false">C24-IF(2&lt;='Control Panel &amp; Inputs'!$C$48,$F6,0)-MAX(0,C24-IF(2&lt;='Control Panel &amp; Inputs'!$C$50,'Control Panel &amp; Inputs'!$C$44/'Control Panel &amp; Inputs'!$C$50,0)-MIN(IF(2&lt;='Control Panel &amp; Inputs'!$C$48,-IPMT('Control Panel &amp; Inputs'!$C$47,2,'Control Panel &amp; Inputs'!$C$48,$D6),0),'Control Panel &amp; Inputs'!$C$52*C24))*'Control Panel &amp; Inputs'!$C$51</f>
        <v>23300236.3488658</v>
      </c>
      <c r="J6" s="80" t="n">
        <f aca="false">D24-IF(3&lt;='Control Panel &amp; Inputs'!$C$48,$F6,0)-MAX(0,D24-IF(3&lt;='Control Panel &amp; Inputs'!$C$50,'Control Panel &amp; Inputs'!$C$44/'Control Panel &amp; Inputs'!$C$50,0)-MIN(IF(3&lt;='Control Panel &amp; Inputs'!$C$48,-IPMT('Control Panel &amp; Inputs'!$C$47,3,'Control Panel &amp; Inputs'!$C$48,$D6),0),'Control Panel &amp; Inputs'!$C$52*D24))*'Control Panel &amp; Inputs'!$C$51</f>
        <v>24584968.4434094</v>
      </c>
      <c r="K6" s="80" t="n">
        <f aca="false">E24-IF(4&lt;='Control Panel &amp; Inputs'!$C$48,$F6,0)-MAX(0,E24-IF(4&lt;='Control Panel &amp; Inputs'!$C$50,'Control Panel &amp; Inputs'!$C$44/'Control Panel &amp; Inputs'!$C$50,0)-MIN(IF(4&lt;='Control Panel &amp; Inputs'!$C$48,-IPMT('Control Panel &amp; Inputs'!$C$47,4,'Control Panel &amp; Inputs'!$C$48,$D6),0),'Control Panel &amp; Inputs'!$C$52*E24))*'Control Panel &amp; Inputs'!$C$51</f>
        <v>25819356.7001051</v>
      </c>
      <c r="L6" s="80" t="n">
        <f aca="false">F24-IF(5&lt;='Control Panel &amp; Inputs'!$C$48,$F6,0)-MAX(0,F24-IF(5&lt;='Control Panel &amp; Inputs'!$C$50,'Control Panel &amp; Inputs'!$C$44/'Control Panel &amp; Inputs'!$C$50,0)-MIN(IF(5&lt;='Control Panel &amp; Inputs'!$C$48,-IPMT('Control Panel &amp; Inputs'!$C$47,5,'Control Panel &amp; Inputs'!$C$48,$D6),0),'Control Panel &amp; Inputs'!$C$52*F24))*'Control Panel &amp; Inputs'!$C$51+'Control Panel &amp; Inputs'!$C$44*'Control Panel &amp; Inputs'!$C$45</f>
        <v>60426477.608325</v>
      </c>
      <c r="M6" s="81" t="n">
        <f aca="false">IRR(G6:L6)</f>
        <v>0.0273884979465043</v>
      </c>
      <c r="N6" s="82" t="n">
        <f aca="false">AVERAGE(B24:F24)/$F6</f>
        <v>1.47532600272311</v>
      </c>
    </row>
    <row r="7" customFormat="false" ht="15" hidden="false" customHeight="false" outlineLevel="0" collapsed="false">
      <c r="A7" s="6" t="str">
        <f aca="false">TEXT($B7,"$0.00")&amp;"/kWh @ "&amp;TEXT($C7,"0%")&amp;" debt"</f>
        <v>$0.04/kWh @ 70% debt</v>
      </c>
      <c r="B7" s="78" t="n">
        <v>0.04</v>
      </c>
      <c r="C7" s="79" t="n">
        <v>0.7</v>
      </c>
      <c r="D7" s="80" t="n">
        <f aca="false">'Control Panel &amp; Inputs'!$C$44*$C7</f>
        <v>234582040</v>
      </c>
      <c r="E7" s="80" t="n">
        <f aca="false">'Control Panel &amp; Inputs'!$C$44-$D7</f>
        <v>100535160</v>
      </c>
      <c r="F7" s="80" t="n">
        <f aca="false">-PMT('Control Panel &amp; Inputs'!$C$47,'Control Panel &amp; Inputs'!$C$48,$D7)</f>
        <v>56448540.7240751</v>
      </c>
      <c r="G7" s="80" t="n">
        <f aca="false">-$E7</f>
        <v>-100535160</v>
      </c>
      <c r="H7" s="80" t="n">
        <f aca="false">B25-IF(1&lt;='Control Panel &amp; Inputs'!$C$48,$F7,0)-MAX(0,B25-IF(1&lt;='Control Panel &amp; Inputs'!$C$50,'Control Panel &amp; Inputs'!$C$44/'Control Panel &amp; Inputs'!$C$50,0)-MIN(IF(1&lt;='Control Panel &amp; Inputs'!$C$48,-IPMT('Control Panel &amp; Inputs'!$C$47,1,'Control Panel &amp; Inputs'!$C$48,$D7),0),'Control Panel &amp; Inputs'!$C$52*B25))*'Control Panel &amp; Inputs'!$C$51</f>
        <v>5638292.61474855</v>
      </c>
      <c r="I7" s="80" t="n">
        <f aca="false">C25-IF(2&lt;='Control Panel &amp; Inputs'!$C$48,$F7,0)-MAX(0,C25-IF(2&lt;='Control Panel &amp; Inputs'!$C$50,'Control Panel &amp; Inputs'!$C$44/'Control Panel &amp; Inputs'!$C$50,0)-MIN(IF(2&lt;='Control Panel &amp; Inputs'!$C$48,-IPMT('Control Panel &amp; Inputs'!$C$47,2,'Control Panel &amp; Inputs'!$C$48,$D7),0),'Control Panel &amp; Inputs'!$C$52*C25))*'Control Panel &amp; Inputs'!$C$51</f>
        <v>15236159.1025694</v>
      </c>
      <c r="J7" s="80" t="n">
        <f aca="false">D25-IF(3&lt;='Control Panel &amp; Inputs'!$C$48,$F7,0)-MAX(0,D25-IF(3&lt;='Control Panel &amp; Inputs'!$C$50,'Control Panel &amp; Inputs'!$C$44/'Control Panel &amp; Inputs'!$C$50,0)-MIN(IF(3&lt;='Control Panel &amp; Inputs'!$C$48,-IPMT('Control Panel &amp; Inputs'!$C$47,3,'Control Panel &amp; Inputs'!$C$48,$D7),0),'Control Panel &amp; Inputs'!$C$52*D25))*'Control Panel &amp; Inputs'!$C$51</f>
        <v>16520891.197113</v>
      </c>
      <c r="K7" s="80" t="n">
        <f aca="false">E25-IF(4&lt;='Control Panel &amp; Inputs'!$C$48,$F7,0)-MAX(0,E25-IF(4&lt;='Control Panel &amp; Inputs'!$C$50,'Control Panel &amp; Inputs'!$C$44/'Control Panel &amp; Inputs'!$C$50,0)-MIN(IF(4&lt;='Control Panel &amp; Inputs'!$C$48,-IPMT('Control Panel &amp; Inputs'!$C$47,4,'Control Panel &amp; Inputs'!$C$48,$D7),0),'Control Panel &amp; Inputs'!$C$52*E25))*'Control Panel &amp; Inputs'!$C$51</f>
        <v>17841167.2354697</v>
      </c>
      <c r="L7" s="80" t="n">
        <f aca="false">F25-IF(5&lt;='Control Panel &amp; Inputs'!$C$48,$F7,0)-MAX(0,F25-IF(5&lt;='Control Panel &amp; Inputs'!$C$50,'Control Panel &amp; Inputs'!$C$44/'Control Panel &amp; Inputs'!$C$50,0)-MIN(IF(5&lt;='Control Panel &amp; Inputs'!$C$48,-IPMT('Control Panel &amp; Inputs'!$C$47,5,'Control Panel &amp; Inputs'!$C$48,$D7),0),'Control Panel &amp; Inputs'!$C$52*F25))*'Control Panel &amp; Inputs'!$C$51+'Control Panel &amp; Inputs'!$C$44*'Control Panel &amp; Inputs'!$C$45</f>
        <v>52406695.9976068</v>
      </c>
      <c r="M7" s="81" t="n">
        <f aca="false">IRR(G7:L7)</f>
        <v>0.0177702105428679</v>
      </c>
      <c r="N7" s="82" t="n">
        <f aca="false">AVERAGE(B25:F25)/$F7</f>
        <v>1.26456514519123</v>
      </c>
    </row>
    <row r="8" customFormat="false" ht="15" hidden="false" customHeight="false" outlineLevel="0" collapsed="false">
      <c r="A8" s="6" t="str">
        <f aca="false">TEXT($B8,"$0.00")&amp;"/kWh @ "&amp;TEXT($C8,"0%")&amp;" debt"</f>
        <v>$0.04/kWh @ 80% debt</v>
      </c>
      <c r="B8" s="78" t="n">
        <v>0.04</v>
      </c>
      <c r="C8" s="79" t="n">
        <v>0.8</v>
      </c>
      <c r="D8" s="80" t="n">
        <f aca="false">'Control Panel &amp; Inputs'!$C$44*$C8</f>
        <v>268093760</v>
      </c>
      <c r="E8" s="80" t="n">
        <f aca="false">'Control Panel &amp; Inputs'!$C$44-$D8</f>
        <v>67023440</v>
      </c>
      <c r="F8" s="80" t="n">
        <f aca="false">-PMT('Control Panel &amp; Inputs'!$C$47,'Control Panel &amp; Inputs'!$C$48,$D8)</f>
        <v>64512617.9703716</v>
      </c>
      <c r="G8" s="80" t="n">
        <f aca="false">-$E8</f>
        <v>-67023440</v>
      </c>
      <c r="H8" s="80" t="n">
        <f aca="false">B26-IF(1&lt;='Control Panel &amp; Inputs'!$C$48,$F8,0)-MAX(0,B26-IF(1&lt;='Control Panel &amp; Inputs'!$C$50,'Control Panel &amp; Inputs'!$C$44/'Control Panel &amp; Inputs'!$C$50,0)-MIN(IF(1&lt;='Control Panel &amp; Inputs'!$C$48,-IPMT('Control Panel &amp; Inputs'!$C$47,1,'Control Panel &amp; Inputs'!$C$48,$D8),0),'Control Panel &amp; Inputs'!$C$52*B26))*'Control Panel &amp; Inputs'!$C$51</f>
        <v>-2425784.6315479</v>
      </c>
      <c r="I8" s="80" t="n">
        <f aca="false">C26-IF(2&lt;='Control Panel &amp; Inputs'!$C$48,$F8,0)-MAX(0,C26-IF(2&lt;='Control Panel &amp; Inputs'!$C$50,'Control Panel &amp; Inputs'!$C$44/'Control Panel &amp; Inputs'!$C$50,0)-MIN(IF(2&lt;='Control Panel &amp; Inputs'!$C$48,-IPMT('Control Panel &amp; Inputs'!$C$47,2,'Control Panel &amp; Inputs'!$C$48,$D8),0),'Control Panel &amp; Inputs'!$C$52*C26))*'Control Panel &amp; Inputs'!$C$51</f>
        <v>7172081.85627291</v>
      </c>
      <c r="J8" s="80" t="n">
        <f aca="false">D26-IF(3&lt;='Control Panel &amp; Inputs'!$C$48,$F8,0)-MAX(0,D26-IF(3&lt;='Control Panel &amp; Inputs'!$C$50,'Control Panel &amp; Inputs'!$C$44/'Control Panel &amp; Inputs'!$C$50,0)-MIN(IF(3&lt;='Control Panel &amp; Inputs'!$C$48,-IPMT('Control Panel &amp; Inputs'!$C$47,3,'Control Panel &amp; Inputs'!$C$48,$D8),0),'Control Panel &amp; Inputs'!$C$52*D26))*'Control Panel &amp; Inputs'!$C$51</f>
        <v>8456813.95081654</v>
      </c>
      <c r="K8" s="80" t="n">
        <f aca="false">E26-IF(4&lt;='Control Panel &amp; Inputs'!$C$48,$F8,0)-MAX(0,E26-IF(4&lt;='Control Panel &amp; Inputs'!$C$50,'Control Panel &amp; Inputs'!$C$44/'Control Panel &amp; Inputs'!$C$50,0)-MIN(IF(4&lt;='Control Panel &amp; Inputs'!$C$48,-IPMT('Control Panel &amp; Inputs'!$C$47,4,'Control Panel &amp; Inputs'!$C$48,$D8),0),'Control Panel &amp; Inputs'!$C$52*E26))*'Control Panel &amp; Inputs'!$C$51</f>
        <v>9835056.63173513</v>
      </c>
      <c r="L8" s="80" t="n">
        <f aca="false">F26-IF(5&lt;='Control Panel &amp; Inputs'!$C$48,$F8,0)-MAX(0,F26-IF(5&lt;='Control Panel &amp; Inputs'!$C$50,'Control Panel &amp; Inputs'!$C$44/'Control Panel &amp; Inputs'!$C$50,0)-MIN(IF(5&lt;='Control Panel &amp; Inputs'!$C$48,-IPMT('Control Panel &amp; Inputs'!$C$47,5,'Control Panel &amp; Inputs'!$C$48,$D8),0),'Control Panel &amp; Inputs'!$C$52*F26))*'Control Panel &amp; Inputs'!$C$51+'Control Panel &amp; Inputs'!$C$44*'Control Panel &amp; Inputs'!$C$45</f>
        <v>44386914.3868886</v>
      </c>
      <c r="M8" s="81" t="n">
        <f aca="false">IRR(G8:L8)</f>
        <v>0.00135032626637098</v>
      </c>
      <c r="N8" s="82" t="n">
        <f aca="false">AVERAGE(B26:F26)/$F8</f>
        <v>1.10649450204233</v>
      </c>
    </row>
    <row r="9" customFormat="false" ht="15" hidden="false" customHeight="false" outlineLevel="0" collapsed="false">
      <c r="A9" s="6" t="str">
        <f aca="false">TEXT($B9,"$0.00")&amp;"/kWh @ "&amp;TEXT($C9,"0%")&amp;" debt"</f>
        <v>$0.06/kWh @ 50% debt</v>
      </c>
      <c r="B9" s="78" t="n">
        <v>0.06</v>
      </c>
      <c r="C9" s="79" t="n">
        <v>0.5</v>
      </c>
      <c r="D9" s="80" t="n">
        <f aca="false">'Control Panel &amp; Inputs'!$C$44*$C9</f>
        <v>167558600</v>
      </c>
      <c r="E9" s="80" t="n">
        <f aca="false">'Control Panel &amp; Inputs'!$C$44-$D9</f>
        <v>167558600</v>
      </c>
      <c r="F9" s="80" t="n">
        <f aca="false">-PMT('Control Panel &amp; Inputs'!$C$47,'Control Panel &amp; Inputs'!$C$48,$D9)</f>
        <v>40320386.2314822</v>
      </c>
      <c r="G9" s="80" t="n">
        <f aca="false">-$E9</f>
        <v>-167558600</v>
      </c>
      <c r="H9" s="80" t="n">
        <f aca="false">B27-IF(1&lt;='Control Panel &amp; Inputs'!$C$48,$F9,0)-MAX(0,B27-IF(1&lt;='Control Panel &amp; Inputs'!$C$50,'Control Panel &amp; Inputs'!$C$44/'Control Panel &amp; Inputs'!$C$50,0)-MIN(IF(1&lt;='Control Panel &amp; Inputs'!$C$48,-IPMT('Control Panel &amp; Inputs'!$C$47,1,'Control Panel &amp; Inputs'!$C$48,$D9),0),'Control Panel &amp; Inputs'!$C$52*B27))*'Control Panel &amp; Inputs'!$C$51</f>
        <v>20443963.8812934</v>
      </c>
      <c r="I9" s="80" t="n">
        <f aca="false">C27-IF(2&lt;='Control Panel &amp; Inputs'!$C$48,$F9,0)-MAX(0,C27-IF(2&lt;='Control Panel &amp; Inputs'!$C$50,'Control Panel &amp; Inputs'!$C$44/'Control Panel &amp; Inputs'!$C$50,0)-MIN(IF(2&lt;='Control Panel &amp; Inputs'!$C$48,-IPMT('Control Panel &amp; Inputs'!$C$47,2,'Control Panel &amp; Inputs'!$C$48,$D9),0),'Control Panel &amp; Inputs'!$C$52*C27))*'Control Panel &amp; Inputs'!$C$51</f>
        <v>30015380.7045933</v>
      </c>
      <c r="J9" s="80" t="n">
        <f aca="false">D27-IF(3&lt;='Control Panel &amp; Inputs'!$C$48,$F9,0)-MAX(0,D27-IF(3&lt;='Control Panel &amp; Inputs'!$C$50,'Control Panel &amp; Inputs'!$C$44/'Control Panel &amp; Inputs'!$C$50,0)-MIN(IF(3&lt;='Control Panel &amp; Inputs'!$C$48,-IPMT('Control Panel &amp; Inputs'!$C$47,3,'Control Panel &amp; Inputs'!$C$48,$D9),0),'Control Panel &amp; Inputs'!$C$52*D27))*'Control Panel &amp; Inputs'!$C$51</f>
        <v>31273134.1413255</v>
      </c>
      <c r="K9" s="80" t="n">
        <f aca="false">E27-IF(4&lt;='Control Panel &amp; Inputs'!$C$48,$F9,0)-MAX(0,E27-IF(4&lt;='Control Panel &amp; Inputs'!$C$50,'Control Panel &amp; Inputs'!$C$44/'Control Panel &amp; Inputs'!$C$50,0)-MIN(IF(4&lt;='Control Panel &amp; Inputs'!$C$48,-IPMT('Control Panel &amp; Inputs'!$C$47,4,'Control Panel &amp; Inputs'!$C$48,$D9),0),'Control Panel &amp; Inputs'!$C$52*E27))*'Control Panel &amp; Inputs'!$C$51</f>
        <v>32520425.0655338</v>
      </c>
      <c r="L9" s="80" t="n">
        <f aca="false">F27-IF(5&lt;='Control Panel &amp; Inputs'!$C$48,$F9,0)-MAX(0,F27-IF(5&lt;='Control Panel &amp; Inputs'!$C$50,'Control Panel &amp; Inputs'!$C$44/'Control Panel &amp; Inputs'!$C$50,0)-MIN(IF(5&lt;='Control Panel &amp; Inputs'!$C$48,-IPMT('Control Panel &amp; Inputs'!$C$47,5,'Control Panel &amp; Inputs'!$C$48,$D9),0),'Control Panel &amp; Inputs'!$C$52*F27))*'Control Panel &amp; Inputs'!$C$51+'Control Panel &amp; Inputs'!$C$44*'Control Panel &amp; Inputs'!$C$45</f>
        <v>67143595.6978524</v>
      </c>
      <c r="M9" s="81" t="n">
        <f aca="false">IRR(G9:L9)</f>
        <v>0.0228912959711814</v>
      </c>
      <c r="N9" s="82" t="n">
        <f aca="false">AVERAGE(B27:F27)/$F9</f>
        <v>1.73625335657266</v>
      </c>
    </row>
    <row r="10" customFormat="false" ht="15" hidden="false" customHeight="false" outlineLevel="0" collapsed="false">
      <c r="A10" s="6" t="str">
        <f aca="false">TEXT($B10,"$0.00")&amp;"/kWh @ "&amp;TEXT($C10,"0%")&amp;" debt"</f>
        <v>$0.06/kWh @ 60% debt</v>
      </c>
      <c r="B10" s="78" t="n">
        <v>0.06</v>
      </c>
      <c r="C10" s="79" t="n">
        <v>0.6</v>
      </c>
      <c r="D10" s="80" t="n">
        <f aca="false">'Control Panel &amp; Inputs'!$C$44*$C10</f>
        <v>201070320</v>
      </c>
      <c r="E10" s="80" t="n">
        <f aca="false">'Control Panel &amp; Inputs'!$C$44-$D10</f>
        <v>134046880</v>
      </c>
      <c r="F10" s="80" t="n">
        <f aca="false">-PMT('Control Panel &amp; Inputs'!$C$47,'Control Panel &amp; Inputs'!$C$48,$D10)</f>
        <v>48384463.4777787</v>
      </c>
      <c r="G10" s="80" t="n">
        <f aca="false">-$E10</f>
        <v>-134046880</v>
      </c>
      <c r="H10" s="80" t="n">
        <f aca="false">B28-IF(1&lt;='Control Panel &amp; Inputs'!$C$48,$F10,0)-MAX(0,B28-IF(1&lt;='Control Panel &amp; Inputs'!$C$50,'Control Panel &amp; Inputs'!$C$44/'Control Panel &amp; Inputs'!$C$50,0)-MIN(IF(1&lt;='Control Panel &amp; Inputs'!$C$48,-IPMT('Control Panel &amp; Inputs'!$C$47,1,'Control Panel &amp; Inputs'!$C$48,$D10),0),'Control Panel &amp; Inputs'!$C$52*B28))*'Control Panel &amp; Inputs'!$C$51</f>
        <v>12379886.634997</v>
      </c>
      <c r="I10" s="80" t="n">
        <f aca="false">C28-IF(2&lt;='Control Panel &amp; Inputs'!$C$48,$F10,0)-MAX(0,C28-IF(2&lt;='Control Panel &amp; Inputs'!$C$50,'Control Panel &amp; Inputs'!$C$44/'Control Panel &amp; Inputs'!$C$50,0)-MIN(IF(2&lt;='Control Panel &amp; Inputs'!$C$48,-IPMT('Control Panel &amp; Inputs'!$C$47,2,'Control Panel &amp; Inputs'!$C$48,$D10),0),'Control Panel &amp; Inputs'!$C$52*C28))*'Control Panel &amp; Inputs'!$C$51</f>
        <v>21951303.4582968</v>
      </c>
      <c r="J10" s="80" t="n">
        <f aca="false">D28-IF(3&lt;='Control Panel &amp; Inputs'!$C$48,$F10,0)-MAX(0,D28-IF(3&lt;='Control Panel &amp; Inputs'!$C$50,'Control Panel &amp; Inputs'!$C$44/'Control Panel &amp; Inputs'!$C$50,0)-MIN(IF(3&lt;='Control Panel &amp; Inputs'!$C$48,-IPMT('Control Panel &amp; Inputs'!$C$47,3,'Control Panel &amp; Inputs'!$C$48,$D10),0),'Control Panel &amp; Inputs'!$C$52*D28))*'Control Panel &amp; Inputs'!$C$51</f>
        <v>23209056.8950291</v>
      </c>
      <c r="K10" s="80" t="n">
        <f aca="false">E28-IF(4&lt;='Control Panel &amp; Inputs'!$C$48,$F10,0)-MAX(0,E28-IF(4&lt;='Control Panel &amp; Inputs'!$C$50,'Control Panel &amp; Inputs'!$C$44/'Control Panel &amp; Inputs'!$C$50,0)-MIN(IF(4&lt;='Control Panel &amp; Inputs'!$C$48,-IPMT('Control Panel &amp; Inputs'!$C$47,4,'Control Panel &amp; Inputs'!$C$48,$D10),0),'Control Panel &amp; Inputs'!$C$52*E28))*'Control Panel &amp; Inputs'!$C$51</f>
        <v>24542235.6008985</v>
      </c>
      <c r="L10" s="80" t="n">
        <f aca="false">F28-IF(5&lt;='Control Panel &amp; Inputs'!$C$48,$F10,0)-MAX(0,F28-IF(5&lt;='Control Panel &amp; Inputs'!$C$50,'Control Panel &amp; Inputs'!$C$44/'Control Panel &amp; Inputs'!$C$50,0)-MIN(IF(5&lt;='Control Panel &amp; Inputs'!$C$48,-IPMT('Control Panel &amp; Inputs'!$C$47,5,'Control Panel &amp; Inputs'!$C$48,$D10),0),'Control Panel &amp; Inputs'!$C$52*F28))*'Control Panel &amp; Inputs'!$C$51+'Control Panel &amp; Inputs'!$C$44*'Control Panel &amp; Inputs'!$C$45</f>
        <v>59123814.0871342</v>
      </c>
      <c r="M10" s="81" t="n">
        <f aca="false">IRR(G10:L10)</f>
        <v>0.0142907188238313</v>
      </c>
      <c r="N10" s="82" t="n">
        <f aca="false">AVERAGE(B28:F28)/$F10</f>
        <v>1.44687779714389</v>
      </c>
    </row>
    <row r="11" customFormat="false" ht="15" hidden="false" customHeight="false" outlineLevel="0" collapsed="false">
      <c r="A11" s="6" t="str">
        <f aca="false">TEXT($B11,"$0.00")&amp;"/kWh @ "&amp;TEXT($C11,"0%")&amp;" debt"</f>
        <v>$0.06/kWh @ 70% debt</v>
      </c>
      <c r="B11" s="78" t="n">
        <v>0.06</v>
      </c>
      <c r="C11" s="79" t="n">
        <v>0.7</v>
      </c>
      <c r="D11" s="80" t="n">
        <f aca="false">'Control Panel &amp; Inputs'!$C$44*$C11</f>
        <v>234582040</v>
      </c>
      <c r="E11" s="80" t="n">
        <f aca="false">'Control Panel &amp; Inputs'!$C$44-$D11</f>
        <v>100535160</v>
      </c>
      <c r="F11" s="80" t="n">
        <f aca="false">-PMT('Control Panel &amp; Inputs'!$C$47,'Control Panel &amp; Inputs'!$C$48,$D11)</f>
        <v>56448540.7240751</v>
      </c>
      <c r="G11" s="80" t="n">
        <f aca="false">-$E11</f>
        <v>-100535160</v>
      </c>
      <c r="H11" s="80" t="n">
        <f aca="false">B29-IF(1&lt;='Control Panel &amp; Inputs'!$C$48,$F11,0)-MAX(0,B29-IF(1&lt;='Control Panel &amp; Inputs'!$C$50,'Control Panel &amp; Inputs'!$C$44/'Control Panel &amp; Inputs'!$C$50,0)-MIN(IF(1&lt;='Control Panel &amp; Inputs'!$C$48,-IPMT('Control Panel &amp; Inputs'!$C$47,1,'Control Panel &amp; Inputs'!$C$48,$D11),0),'Control Panel &amp; Inputs'!$C$52*B29))*'Control Panel &amp; Inputs'!$C$51</f>
        <v>4315809.38870055</v>
      </c>
      <c r="I11" s="80" t="n">
        <f aca="false">C29-IF(2&lt;='Control Panel &amp; Inputs'!$C$48,$F11,0)-MAX(0,C29-IF(2&lt;='Control Panel &amp; Inputs'!$C$50,'Control Panel &amp; Inputs'!$C$44/'Control Panel &amp; Inputs'!$C$50,0)-MIN(IF(2&lt;='Control Panel &amp; Inputs'!$C$48,-IPMT('Control Panel &amp; Inputs'!$C$47,2,'Control Panel &amp; Inputs'!$C$48,$D11),0),'Control Panel &amp; Inputs'!$C$52*C29))*'Control Panel &amp; Inputs'!$C$51</f>
        <v>13887226.2120004</v>
      </c>
      <c r="J11" s="80" t="n">
        <f aca="false">D29-IF(3&lt;='Control Panel &amp; Inputs'!$C$48,$F11,0)-MAX(0,D29-IF(3&lt;='Control Panel &amp; Inputs'!$C$50,'Control Panel &amp; Inputs'!$C$44/'Control Panel &amp; Inputs'!$C$50,0)-MIN(IF(3&lt;='Control Panel &amp; Inputs'!$C$48,-IPMT('Control Panel &amp; Inputs'!$C$47,3,'Control Panel &amp; Inputs'!$C$48,$D11),0),'Control Panel &amp; Inputs'!$C$52*D29))*'Control Panel &amp; Inputs'!$C$51</f>
        <v>15144979.6487326</v>
      </c>
      <c r="K11" s="80" t="n">
        <f aca="false">E29-IF(4&lt;='Control Panel &amp; Inputs'!$C$48,$F11,0)-MAX(0,E29-IF(4&lt;='Control Panel &amp; Inputs'!$C$50,'Control Panel &amp; Inputs'!$C$44/'Control Panel &amp; Inputs'!$C$50,0)-MIN(IF(4&lt;='Control Panel &amp; Inputs'!$C$48,-IPMT('Control Panel &amp; Inputs'!$C$47,4,'Control Panel &amp; Inputs'!$C$48,$D11),0),'Control Panel &amp; Inputs'!$C$52*E29))*'Control Panel &amp; Inputs'!$C$51</f>
        <v>16495704.0986836</v>
      </c>
      <c r="L11" s="80" t="n">
        <f aca="false">F29-IF(5&lt;='Control Panel &amp; Inputs'!$C$48,$F11,0)-MAX(0,F29-IF(5&lt;='Control Panel &amp; Inputs'!$C$50,'Control Panel &amp; Inputs'!$C$44/'Control Panel &amp; Inputs'!$C$50,0)-MIN(IF(5&lt;='Control Panel &amp; Inputs'!$C$48,-IPMT('Control Panel &amp; Inputs'!$C$47,5,'Control Panel &amp; Inputs'!$C$48,$D11),0),'Control Panel &amp; Inputs'!$C$52*F29))*'Control Panel &amp; Inputs'!$C$51+'Control Panel &amp; Inputs'!$C$44*'Control Panel &amp; Inputs'!$C$45</f>
        <v>51104032.476416</v>
      </c>
      <c r="M11" s="81" t="n">
        <f aca="false">IRR(G11:L11)</f>
        <v>0.00103686365560702</v>
      </c>
      <c r="N11" s="82" t="n">
        <f aca="false">AVERAGE(B29:F29)/$F11</f>
        <v>1.24018096898047</v>
      </c>
    </row>
    <row r="12" customFormat="false" ht="15" hidden="false" customHeight="false" outlineLevel="0" collapsed="false">
      <c r="A12" s="6" t="str">
        <f aca="false">TEXT($B12,"$0.00")&amp;"/kWh @ "&amp;TEXT($C12,"0%")&amp;" debt"</f>
        <v>$0.06/kWh @ 80% debt</v>
      </c>
      <c r="B12" s="78" t="n">
        <v>0.06</v>
      </c>
      <c r="C12" s="79" t="n">
        <v>0.8</v>
      </c>
      <c r="D12" s="80" t="n">
        <f aca="false">'Control Panel &amp; Inputs'!$C$44*$C12</f>
        <v>268093760</v>
      </c>
      <c r="E12" s="80" t="n">
        <f aca="false">'Control Panel &amp; Inputs'!$C$44-$D12</f>
        <v>67023440</v>
      </c>
      <c r="F12" s="80" t="n">
        <f aca="false">-PMT('Control Panel &amp; Inputs'!$C$47,'Control Panel &amp; Inputs'!$C$48,$D12)</f>
        <v>64512617.9703716</v>
      </c>
      <c r="G12" s="80" t="n">
        <f aca="false">-$E12</f>
        <v>-67023440</v>
      </c>
      <c r="H12" s="80" t="n">
        <f aca="false">B30-IF(1&lt;='Control Panel &amp; Inputs'!$C$48,$F12,0)-MAX(0,B30-IF(1&lt;='Control Panel &amp; Inputs'!$C$50,'Control Panel &amp; Inputs'!$C$44/'Control Panel &amp; Inputs'!$C$50,0)-MIN(IF(1&lt;='Control Panel &amp; Inputs'!$C$48,-IPMT('Control Panel &amp; Inputs'!$C$47,1,'Control Panel &amp; Inputs'!$C$48,$D12),0),'Control Panel &amp; Inputs'!$C$52*B30))*'Control Panel &amp; Inputs'!$C$51</f>
        <v>-3748267.8575959</v>
      </c>
      <c r="I12" s="80" t="n">
        <f aca="false">C30-IF(2&lt;='Control Panel &amp; Inputs'!$C$48,$F12,0)-MAX(0,C30-IF(2&lt;='Control Panel &amp; Inputs'!$C$50,'Control Panel &amp; Inputs'!$C$44/'Control Panel &amp; Inputs'!$C$50,0)-MIN(IF(2&lt;='Control Panel &amp; Inputs'!$C$48,-IPMT('Control Panel &amp; Inputs'!$C$47,2,'Control Panel &amp; Inputs'!$C$48,$D12),0),'Control Panel &amp; Inputs'!$C$52*C30))*'Control Panel &amp; Inputs'!$C$51</f>
        <v>5823148.96570393</v>
      </c>
      <c r="J12" s="80" t="n">
        <f aca="false">D30-IF(3&lt;='Control Panel &amp; Inputs'!$C$48,$F12,0)-MAX(0,D30-IF(3&lt;='Control Panel &amp; Inputs'!$C$50,'Control Panel &amp; Inputs'!$C$44/'Control Panel &amp; Inputs'!$C$50,0)-MIN(IF(3&lt;='Control Panel &amp; Inputs'!$C$48,-IPMT('Control Panel &amp; Inputs'!$C$47,3,'Control Panel &amp; Inputs'!$C$48,$D12),0),'Control Panel &amp; Inputs'!$C$52*D30))*'Control Panel &amp; Inputs'!$C$51</f>
        <v>7080902.4024362</v>
      </c>
      <c r="K12" s="80" t="n">
        <f aca="false">E30-IF(4&lt;='Control Panel &amp; Inputs'!$C$48,$F12,0)-MAX(0,E30-IF(4&lt;='Control Panel &amp; Inputs'!$C$50,'Control Panel &amp; Inputs'!$C$44/'Control Panel &amp; Inputs'!$C$50,0)-MIN(IF(4&lt;='Control Panel &amp; Inputs'!$C$48,-IPMT('Control Panel &amp; Inputs'!$C$47,4,'Control Panel &amp; Inputs'!$C$48,$D12),0),'Control Panel &amp; Inputs'!$C$52*E30))*'Control Panel &amp; Inputs'!$C$51</f>
        <v>8431626.85238719</v>
      </c>
      <c r="L12" s="80" t="n">
        <f aca="false">F30-IF(5&lt;='Control Panel &amp; Inputs'!$C$48,$F12,0)-MAX(0,F30-IF(5&lt;='Control Panel &amp; Inputs'!$C$50,'Control Panel &amp; Inputs'!$C$44/'Control Panel &amp; Inputs'!$C$50,0)-MIN(IF(5&lt;='Control Panel &amp; Inputs'!$C$48,-IPMT('Control Panel &amp; Inputs'!$C$47,5,'Control Panel &amp; Inputs'!$C$48,$D12),0),'Control Panel &amp; Inputs'!$C$52*F30))*'Control Panel &amp; Inputs'!$C$51+'Control Panel &amp; Inputs'!$C$44*'Control Panel &amp; Inputs'!$C$45</f>
        <v>43084250.8656978</v>
      </c>
      <c r="M12" s="81" t="n">
        <f aca="false">IRR(G12:L12)</f>
        <v>-0.0214572858678818</v>
      </c>
      <c r="N12" s="82" t="n">
        <f aca="false">AVERAGE(B30:F30)/$F12</f>
        <v>1.08515834785792</v>
      </c>
    </row>
    <row r="13" customFormat="false" ht="15" hidden="false" customHeight="false" outlineLevel="0" collapsed="false">
      <c r="A13" s="6" t="str">
        <f aca="false">TEXT($B13,"$0.00")&amp;"/kWh @ "&amp;TEXT($C13,"0%")&amp;" debt"</f>
        <v>$0.08/kWh @ 50% debt</v>
      </c>
      <c r="B13" s="78" t="n">
        <v>0.08</v>
      </c>
      <c r="C13" s="79" t="n">
        <v>0.5</v>
      </c>
      <c r="D13" s="80" t="n">
        <f aca="false">'Control Panel &amp; Inputs'!$C$44*$C13</f>
        <v>167558600</v>
      </c>
      <c r="E13" s="80" t="n">
        <f aca="false">'Control Panel &amp; Inputs'!$C$44-$D13</f>
        <v>167558600</v>
      </c>
      <c r="F13" s="80" t="n">
        <f aca="false">-PMT('Control Panel &amp; Inputs'!$C$47,'Control Panel &amp; Inputs'!$C$48,$D13)</f>
        <v>40320386.2314822</v>
      </c>
      <c r="G13" s="80" t="n">
        <f aca="false">-$E13</f>
        <v>-167558600</v>
      </c>
      <c r="H13" s="80" t="n">
        <f aca="false">B31-IF(1&lt;='Control Panel &amp; Inputs'!$C$48,$F13,0)-MAX(0,B31-IF(1&lt;='Control Panel &amp; Inputs'!$C$50,'Control Panel &amp; Inputs'!$C$44/'Control Panel &amp; Inputs'!$C$50,0)-MIN(IF(1&lt;='Control Panel &amp; Inputs'!$C$48,-IPMT('Control Panel &amp; Inputs'!$C$47,1,'Control Panel &amp; Inputs'!$C$48,$D13),0),'Control Panel &amp; Inputs'!$C$52*B31))*'Control Panel &amp; Inputs'!$C$51</f>
        <v>19121480.6552454</v>
      </c>
      <c r="I13" s="80" t="n">
        <f aca="false">C31-IF(2&lt;='Control Panel &amp; Inputs'!$C$48,$F13,0)-MAX(0,C31-IF(2&lt;='Control Panel &amp; Inputs'!$C$50,'Control Panel &amp; Inputs'!$C$44/'Control Panel &amp; Inputs'!$C$50,0)-MIN(IF(2&lt;='Control Panel &amp; Inputs'!$C$48,-IPMT('Control Panel &amp; Inputs'!$C$47,2,'Control Panel &amp; Inputs'!$C$48,$D13),0),'Control Panel &amp; Inputs'!$C$52*C31))*'Control Panel &amp; Inputs'!$C$51</f>
        <v>28666447.8140243</v>
      </c>
      <c r="J13" s="80" t="n">
        <f aca="false">D31-IF(3&lt;='Control Panel &amp; Inputs'!$C$48,$F13,0)-MAX(0,D31-IF(3&lt;='Control Panel &amp; Inputs'!$C$50,'Control Panel &amp; Inputs'!$C$44/'Control Panel &amp; Inputs'!$C$50,0)-MIN(IF(3&lt;='Control Panel &amp; Inputs'!$C$48,-IPMT('Control Panel &amp; Inputs'!$C$47,3,'Control Panel &amp; Inputs'!$C$48,$D13),0),'Control Panel &amp; Inputs'!$C$52*D31))*'Control Panel &amp; Inputs'!$C$51</f>
        <v>29897222.5929452</v>
      </c>
      <c r="K13" s="80" t="n">
        <f aca="false">E31-IF(4&lt;='Control Panel &amp; Inputs'!$C$48,$F13,0)-MAX(0,E31-IF(4&lt;='Control Panel &amp; Inputs'!$C$50,'Control Panel &amp; Inputs'!$C$44/'Control Panel &amp; Inputs'!$C$50,0)-MIN(IF(4&lt;='Control Panel &amp; Inputs'!$C$48,-IPMT('Control Panel &amp; Inputs'!$C$47,4,'Control Panel &amp; Inputs'!$C$48,$D13),0),'Control Panel &amp; Inputs'!$C$52*E31))*'Control Panel &amp; Inputs'!$C$51</f>
        <v>31220428.8119286</v>
      </c>
      <c r="L13" s="80" t="n">
        <f aca="false">F31-IF(5&lt;='Control Panel &amp; Inputs'!$C$48,$F13,0)-MAX(0,F31-IF(5&lt;='Control Panel &amp; Inputs'!$C$50,'Control Panel &amp; Inputs'!$C$44/'Control Panel &amp; Inputs'!$C$50,0)-MIN(IF(5&lt;='Control Panel &amp; Inputs'!$C$48,-IPMT('Control Panel &amp; Inputs'!$C$47,5,'Control Panel &amp; Inputs'!$C$48,$D13),0),'Control Panel &amp; Inputs'!$C$52*F31))*'Control Panel &amp; Inputs'!$C$51+'Control Panel &amp; Inputs'!$C$44*'Control Panel &amp; Inputs'!$C$45</f>
        <v>65840932.1766617</v>
      </c>
      <c r="M13" s="81" t="n">
        <f aca="false">IRR(G13:L13)</f>
        <v>0.0119444660484369</v>
      </c>
      <c r="N13" s="82" t="n">
        <f aca="false">AVERAGE(B31:F31)/$F13</f>
        <v>1.7021155098776</v>
      </c>
    </row>
    <row r="14" customFormat="false" ht="15" hidden="false" customHeight="false" outlineLevel="0" collapsed="false">
      <c r="A14" s="6" t="str">
        <f aca="false">TEXT($B14,"$0.00")&amp;"/kWh @ "&amp;TEXT($C14,"0%")&amp;" debt"</f>
        <v>$0.08/kWh @ 60% debt</v>
      </c>
      <c r="B14" s="78" t="n">
        <v>0.08</v>
      </c>
      <c r="C14" s="79" t="n">
        <v>0.6</v>
      </c>
      <c r="D14" s="80" t="n">
        <f aca="false">'Control Panel &amp; Inputs'!$C$44*$C14</f>
        <v>201070320</v>
      </c>
      <c r="E14" s="80" t="n">
        <f aca="false">'Control Panel &amp; Inputs'!$C$44-$D14</f>
        <v>134046880</v>
      </c>
      <c r="F14" s="80" t="n">
        <f aca="false">-PMT('Control Panel &amp; Inputs'!$C$47,'Control Panel &amp; Inputs'!$C$48,$D14)</f>
        <v>48384463.4777787</v>
      </c>
      <c r="G14" s="80" t="n">
        <f aca="false">-$E14</f>
        <v>-134046880</v>
      </c>
      <c r="H14" s="80" t="n">
        <f aca="false">B32-IF(1&lt;='Control Panel &amp; Inputs'!$C$48,$F14,0)-MAX(0,B32-IF(1&lt;='Control Panel &amp; Inputs'!$C$50,'Control Panel &amp; Inputs'!$C$44/'Control Panel &amp; Inputs'!$C$50,0)-MIN(IF(1&lt;='Control Panel &amp; Inputs'!$C$48,-IPMT('Control Panel &amp; Inputs'!$C$47,1,'Control Panel &amp; Inputs'!$C$48,$D14),0),'Control Panel &amp; Inputs'!$C$52*B32))*'Control Panel &amp; Inputs'!$C$51</f>
        <v>11057403.408949</v>
      </c>
      <c r="I14" s="80" t="n">
        <f aca="false">C32-IF(2&lt;='Control Panel &amp; Inputs'!$C$48,$F14,0)-MAX(0,C32-IF(2&lt;='Control Panel &amp; Inputs'!$C$50,'Control Panel &amp; Inputs'!$C$44/'Control Panel &amp; Inputs'!$C$50,0)-MIN(IF(2&lt;='Control Panel &amp; Inputs'!$C$48,-IPMT('Control Panel &amp; Inputs'!$C$47,2,'Control Panel &amp; Inputs'!$C$48,$D14),0),'Control Panel &amp; Inputs'!$C$52*C32))*'Control Panel &amp; Inputs'!$C$51</f>
        <v>20602370.5677279</v>
      </c>
      <c r="J14" s="80" t="n">
        <f aca="false">D32-IF(3&lt;='Control Panel &amp; Inputs'!$C$48,$F14,0)-MAX(0,D32-IF(3&lt;='Control Panel &amp; Inputs'!$C$50,'Control Panel &amp; Inputs'!$C$44/'Control Panel &amp; Inputs'!$C$50,0)-MIN(IF(3&lt;='Control Panel &amp; Inputs'!$C$48,-IPMT('Control Panel &amp; Inputs'!$C$47,3,'Control Panel &amp; Inputs'!$C$48,$D14),0),'Control Panel &amp; Inputs'!$C$52*D32))*'Control Panel &amp; Inputs'!$C$51</f>
        <v>21833145.3466488</v>
      </c>
      <c r="K14" s="80" t="n">
        <f aca="false">E32-IF(4&lt;='Control Panel &amp; Inputs'!$C$48,$F14,0)-MAX(0,E32-IF(4&lt;='Control Panel &amp; Inputs'!$C$50,'Control Panel &amp; Inputs'!$C$44/'Control Panel &amp; Inputs'!$C$50,0)-MIN(IF(4&lt;='Control Panel &amp; Inputs'!$C$48,-IPMT('Control Panel &amp; Inputs'!$C$47,4,'Control Panel &amp; Inputs'!$C$48,$D14),0),'Control Panel &amp; Inputs'!$C$52*E32))*'Control Panel &amp; Inputs'!$C$51</f>
        <v>23156351.5656321</v>
      </c>
      <c r="L14" s="80" t="n">
        <f aca="false">F32-IF(5&lt;='Control Panel &amp; Inputs'!$C$48,$F14,0)-MAX(0,F32-IF(5&lt;='Control Panel &amp; Inputs'!$C$50,'Control Panel &amp; Inputs'!$C$44/'Control Panel &amp; Inputs'!$C$50,0)-MIN(IF(5&lt;='Control Panel &amp; Inputs'!$C$48,-IPMT('Control Panel &amp; Inputs'!$C$47,5,'Control Panel &amp; Inputs'!$C$48,$D14),0),'Control Panel &amp; Inputs'!$C$52*F32))*'Control Panel &amp; Inputs'!$C$51+'Control Panel &amp; Inputs'!$C$44*'Control Panel &amp; Inputs'!$C$45</f>
        <v>57821150.5659435</v>
      </c>
      <c r="M14" s="81" t="n">
        <f aca="false">IRR(G14:L14)</f>
        <v>0.000849823326162686</v>
      </c>
      <c r="N14" s="82" t="n">
        <f aca="false">AVERAGE(B32:F32)/$F14</f>
        <v>1.41842959156467</v>
      </c>
    </row>
    <row r="15" customFormat="false" ht="15" hidden="false" customHeight="false" outlineLevel="0" collapsed="false">
      <c r="A15" s="6" t="str">
        <f aca="false">TEXT($B15,"$0.00")&amp;"/kWh @ "&amp;TEXT($C15,"0%")&amp;" debt"</f>
        <v>$0.08/kWh @ 70% debt</v>
      </c>
      <c r="B15" s="78" t="n">
        <v>0.08</v>
      </c>
      <c r="C15" s="79" t="n">
        <v>0.7</v>
      </c>
      <c r="D15" s="80" t="n">
        <f aca="false">'Control Panel &amp; Inputs'!$C$44*$C15</f>
        <v>234582040</v>
      </c>
      <c r="E15" s="80" t="n">
        <f aca="false">'Control Panel &amp; Inputs'!$C$44-$D15</f>
        <v>100535160</v>
      </c>
      <c r="F15" s="80" t="n">
        <f aca="false">-PMT('Control Panel &amp; Inputs'!$C$47,'Control Panel &amp; Inputs'!$C$48,$D15)</f>
        <v>56448540.7240751</v>
      </c>
      <c r="G15" s="80" t="n">
        <f aca="false">-$E15</f>
        <v>-100535160</v>
      </c>
      <c r="H15" s="80" t="n">
        <f aca="false">B33-IF(1&lt;='Control Panel &amp; Inputs'!$C$48,$F15,0)-MAX(0,B33-IF(1&lt;='Control Panel &amp; Inputs'!$C$50,'Control Panel &amp; Inputs'!$C$44/'Control Panel &amp; Inputs'!$C$50,0)-MIN(IF(1&lt;='Control Panel &amp; Inputs'!$C$48,-IPMT('Control Panel &amp; Inputs'!$C$47,1,'Control Panel &amp; Inputs'!$C$48,$D15),0),'Control Panel &amp; Inputs'!$C$52*B33))*'Control Panel &amp; Inputs'!$C$51</f>
        <v>2993326.16265254</v>
      </c>
      <c r="I15" s="80" t="n">
        <f aca="false">C33-IF(2&lt;='Control Panel &amp; Inputs'!$C$48,$F15,0)-MAX(0,C33-IF(2&lt;='Control Panel &amp; Inputs'!$C$50,'Control Panel &amp; Inputs'!$C$44/'Control Panel &amp; Inputs'!$C$50,0)-MIN(IF(2&lt;='Control Panel &amp; Inputs'!$C$48,-IPMT('Control Panel &amp; Inputs'!$C$47,2,'Control Panel &amp; Inputs'!$C$48,$D15),0),'Control Panel &amp; Inputs'!$C$52*C33))*'Control Panel &amp; Inputs'!$C$51</f>
        <v>12538293.3214314</v>
      </c>
      <c r="J15" s="80" t="n">
        <f aca="false">D33-IF(3&lt;='Control Panel &amp; Inputs'!$C$48,$F15,0)-MAX(0,D33-IF(3&lt;='Control Panel &amp; Inputs'!$C$50,'Control Panel &amp; Inputs'!$C$44/'Control Panel &amp; Inputs'!$C$50,0)-MIN(IF(3&lt;='Control Panel &amp; Inputs'!$C$48,-IPMT('Control Panel &amp; Inputs'!$C$47,3,'Control Panel &amp; Inputs'!$C$48,$D15),0),'Control Panel &amp; Inputs'!$C$52*D33))*'Control Panel &amp; Inputs'!$C$51</f>
        <v>13769068.1003523</v>
      </c>
      <c r="K15" s="80" t="n">
        <f aca="false">E33-IF(4&lt;='Control Panel &amp; Inputs'!$C$48,$F15,0)-MAX(0,E33-IF(4&lt;='Control Panel &amp; Inputs'!$C$50,'Control Panel &amp; Inputs'!$C$44/'Control Panel &amp; Inputs'!$C$50,0)-MIN(IF(4&lt;='Control Panel &amp; Inputs'!$C$48,-IPMT('Control Panel &amp; Inputs'!$C$47,4,'Control Panel &amp; Inputs'!$C$48,$D15),0),'Control Panel &amp; Inputs'!$C$52*E33))*'Control Panel &amp; Inputs'!$C$51</f>
        <v>15092274.3193357</v>
      </c>
      <c r="L15" s="80" t="n">
        <f aca="false">F33-IF(5&lt;='Control Panel &amp; Inputs'!$C$48,$F15,0)-MAX(0,F33-IF(5&lt;='Control Panel &amp; Inputs'!$C$50,'Control Panel &amp; Inputs'!$C$44/'Control Panel &amp; Inputs'!$C$50,0)-MIN(IF(5&lt;='Control Panel &amp; Inputs'!$C$48,-IPMT('Control Panel &amp; Inputs'!$C$47,5,'Control Panel &amp; Inputs'!$C$48,$D15),0),'Control Panel &amp; Inputs'!$C$52*F33))*'Control Panel &amp; Inputs'!$C$51+'Control Panel &amp; Inputs'!$C$44*'Control Panel &amp; Inputs'!$C$45</f>
        <v>49801368.9552253</v>
      </c>
      <c r="M15" s="81" t="n">
        <f aca="false">IRR(G15:L15)</f>
        <v>-0.0160239933487293</v>
      </c>
      <c r="N15" s="82" t="n">
        <f aca="false">AVERAGE(B33:F33)/$F15</f>
        <v>1.21579679276972</v>
      </c>
    </row>
    <row r="16" customFormat="false" ht="15" hidden="false" customHeight="false" outlineLevel="0" collapsed="false">
      <c r="A16" s="6" t="str">
        <f aca="false">TEXT($B16,"$0.00")&amp;"/kWh @ "&amp;TEXT($C16,"0%")&amp;" debt"</f>
        <v>$0.08/kWh @ 80% debt</v>
      </c>
      <c r="B16" s="78" t="n">
        <v>0.08</v>
      </c>
      <c r="C16" s="79" t="n">
        <v>0.8</v>
      </c>
      <c r="D16" s="80" t="n">
        <f aca="false">'Control Panel &amp; Inputs'!$C$44*$C16</f>
        <v>268093760</v>
      </c>
      <c r="E16" s="80" t="n">
        <f aca="false">'Control Panel &amp; Inputs'!$C$44-$D16</f>
        <v>67023440</v>
      </c>
      <c r="F16" s="80" t="n">
        <f aca="false">-PMT('Control Panel &amp; Inputs'!$C$47,'Control Panel &amp; Inputs'!$C$48,$D16)</f>
        <v>64512617.9703716</v>
      </c>
      <c r="G16" s="80" t="n">
        <f aca="false">-$E16</f>
        <v>-67023440</v>
      </c>
      <c r="H16" s="80" t="n">
        <f aca="false">B34-IF(1&lt;='Control Panel &amp; Inputs'!$C$48,$F16,0)-MAX(0,B34-IF(1&lt;='Control Panel &amp; Inputs'!$C$50,'Control Panel &amp; Inputs'!$C$44/'Control Panel &amp; Inputs'!$C$50,0)-MIN(IF(1&lt;='Control Panel &amp; Inputs'!$C$48,-IPMT('Control Panel &amp; Inputs'!$C$47,1,'Control Panel &amp; Inputs'!$C$48,$D16),0),'Control Panel &amp; Inputs'!$C$52*B34))*'Control Panel &amp; Inputs'!$C$51</f>
        <v>-5070751.0836439</v>
      </c>
      <c r="I16" s="80" t="n">
        <f aca="false">C34-IF(2&lt;='Control Panel &amp; Inputs'!$C$48,$F16,0)-MAX(0,C34-IF(2&lt;='Control Panel &amp; Inputs'!$C$50,'Control Panel &amp; Inputs'!$C$44/'Control Panel &amp; Inputs'!$C$50,0)-MIN(IF(2&lt;='Control Panel &amp; Inputs'!$C$48,-IPMT('Control Panel &amp; Inputs'!$C$47,2,'Control Panel &amp; Inputs'!$C$48,$D16),0),'Control Panel &amp; Inputs'!$C$52*C34))*'Control Panel &amp; Inputs'!$C$51</f>
        <v>4474216.07513498</v>
      </c>
      <c r="J16" s="80" t="n">
        <f aca="false">D34-IF(3&lt;='Control Panel &amp; Inputs'!$C$48,$F16,0)-MAX(0,D34-IF(3&lt;='Control Panel &amp; Inputs'!$C$50,'Control Panel &amp; Inputs'!$C$44/'Control Panel &amp; Inputs'!$C$50,0)-MIN(IF(3&lt;='Control Panel &amp; Inputs'!$C$48,-IPMT('Control Panel &amp; Inputs'!$C$47,3,'Control Panel &amp; Inputs'!$C$48,$D16),0),'Control Panel &amp; Inputs'!$C$52*D34))*'Control Panel &amp; Inputs'!$C$51</f>
        <v>5704990.85405587</v>
      </c>
      <c r="K16" s="80" t="n">
        <f aca="false">E34-IF(4&lt;='Control Panel &amp; Inputs'!$C$48,$F16,0)-MAX(0,E34-IF(4&lt;='Control Panel &amp; Inputs'!$C$50,'Control Panel &amp; Inputs'!$C$44/'Control Panel &amp; Inputs'!$C$50,0)-MIN(IF(4&lt;='Control Panel &amp; Inputs'!$C$48,-IPMT('Control Panel &amp; Inputs'!$C$47,4,'Control Panel &amp; Inputs'!$C$48,$D16),0),'Control Panel &amp; Inputs'!$C$52*E34))*'Control Panel &amp; Inputs'!$C$51</f>
        <v>7028197.07303925</v>
      </c>
      <c r="L16" s="80" t="n">
        <f aca="false">F34-IF(5&lt;='Control Panel &amp; Inputs'!$C$48,$F16,0)-MAX(0,F34-IF(5&lt;='Control Panel &amp; Inputs'!$C$50,'Control Panel &amp; Inputs'!$C$44/'Control Panel &amp; Inputs'!$C$50,0)-MIN(IF(5&lt;='Control Panel &amp; Inputs'!$C$48,-IPMT('Control Panel &amp; Inputs'!$C$47,5,'Control Panel &amp; Inputs'!$C$48,$D16),0),'Control Panel &amp; Inputs'!$C$52*F34))*'Control Panel &amp; Inputs'!$C$51+'Control Panel &amp; Inputs'!$C$44*'Control Panel &amp; Inputs'!$C$45</f>
        <v>41781587.3445071</v>
      </c>
      <c r="M16" s="81" t="n">
        <f aca="false">IRR(G16:L16)</f>
        <v>-0.0444931314018822</v>
      </c>
      <c r="N16" s="82" t="n">
        <f aca="false">AVERAGE(B34:F34)/$F16</f>
        <v>1.0638221936735</v>
      </c>
    </row>
    <row r="17" customFormat="false" ht="15" hidden="false" customHeight="false" outlineLevel="0" collapsed="false">
      <c r="A17" s="6" t="str">
        <f aca="false">TEXT($B17,"$0.00")&amp;"/kWh @ "&amp;TEXT($C17,"0%")&amp;" debt"</f>
        <v>$0.10/kWh @ 50% debt</v>
      </c>
      <c r="B17" s="78" t="n">
        <v>0.1</v>
      </c>
      <c r="C17" s="79" t="n">
        <v>0.5</v>
      </c>
      <c r="D17" s="80" t="n">
        <f aca="false">'Control Panel &amp; Inputs'!$C$44*$C17</f>
        <v>167558600</v>
      </c>
      <c r="E17" s="80" t="n">
        <f aca="false">'Control Panel &amp; Inputs'!$C$44-$D17</f>
        <v>167558600</v>
      </c>
      <c r="F17" s="80" t="n">
        <f aca="false">-PMT('Control Panel &amp; Inputs'!$C$47,'Control Panel &amp; Inputs'!$C$48,$D17)</f>
        <v>40320386.2314822</v>
      </c>
      <c r="G17" s="80" t="n">
        <f aca="false">-$E17</f>
        <v>-167558600</v>
      </c>
      <c r="H17" s="80" t="n">
        <f aca="false">B35-IF(1&lt;='Control Panel &amp; Inputs'!$C$48,$F17,0)-MAX(0,B35-IF(1&lt;='Control Panel &amp; Inputs'!$C$50,'Control Panel &amp; Inputs'!$C$44/'Control Panel &amp; Inputs'!$C$50,0)-MIN(IF(1&lt;='Control Panel &amp; Inputs'!$C$48,-IPMT('Control Panel &amp; Inputs'!$C$47,1,'Control Panel &amp; Inputs'!$C$48,$D17),0),'Control Panel &amp; Inputs'!$C$52*B35))*'Control Panel &amp; Inputs'!$C$51</f>
        <v>17798997.4291974</v>
      </c>
      <c r="I17" s="80" t="n">
        <f aca="false">C35-IF(2&lt;='Control Panel &amp; Inputs'!$C$48,$F17,0)-MAX(0,C35-IF(2&lt;='Control Panel &amp; Inputs'!$C$50,'Control Panel &amp; Inputs'!$C$44/'Control Panel &amp; Inputs'!$C$50,0)-MIN(IF(2&lt;='Control Panel &amp; Inputs'!$C$48,-IPMT('Control Panel &amp; Inputs'!$C$47,2,'Control Panel &amp; Inputs'!$C$48,$D17),0),'Control Panel &amp; Inputs'!$C$52*C35))*'Control Panel &amp; Inputs'!$C$51</f>
        <v>27317514.9234554</v>
      </c>
      <c r="J17" s="80" t="n">
        <f aca="false">D35-IF(3&lt;='Control Panel &amp; Inputs'!$C$48,$F17,0)-MAX(0,D35-IF(3&lt;='Control Panel &amp; Inputs'!$C$50,'Control Panel &amp; Inputs'!$C$44/'Control Panel &amp; Inputs'!$C$50,0)-MIN(IF(3&lt;='Control Panel &amp; Inputs'!$C$48,-IPMT('Control Panel &amp; Inputs'!$C$47,3,'Control Panel &amp; Inputs'!$C$48,$D17),0),'Control Panel &amp; Inputs'!$C$52*D35))*'Control Panel &amp; Inputs'!$C$51</f>
        <v>28521311.0445649</v>
      </c>
      <c r="K17" s="80" t="n">
        <f aca="false">E35-IF(4&lt;='Control Panel &amp; Inputs'!$C$48,$F17,0)-MAX(0,E35-IF(4&lt;='Control Panel &amp; Inputs'!$C$50,'Control Panel &amp; Inputs'!$C$44/'Control Panel &amp; Inputs'!$C$50,0)-MIN(IF(4&lt;='Control Panel &amp; Inputs'!$C$48,-IPMT('Control Panel &amp; Inputs'!$C$47,4,'Control Panel &amp; Inputs'!$C$48,$D17),0),'Control Panel &amp; Inputs'!$C$52*E35))*'Control Panel &amp; Inputs'!$C$51</f>
        <v>29816999.0325806</v>
      </c>
      <c r="L17" s="80" t="n">
        <f aca="false">F35-IF(5&lt;='Control Panel &amp; Inputs'!$C$48,$F17,0)-MAX(0,F35-IF(5&lt;='Control Panel &amp; Inputs'!$C$50,'Control Panel &amp; Inputs'!$C$44/'Control Panel &amp; Inputs'!$C$50,0)-MIN(IF(5&lt;='Control Panel &amp; Inputs'!$C$48,-IPMT('Control Panel &amp; Inputs'!$C$47,5,'Control Panel &amp; Inputs'!$C$48,$D17),0),'Control Panel &amp; Inputs'!$C$52*F35))*'Control Panel &amp; Inputs'!$C$51+'Control Panel &amp; Inputs'!$C$44*'Control Panel &amp; Inputs'!$C$45</f>
        <v>64538268.6554709</v>
      </c>
      <c r="M17" s="81" t="n">
        <f aca="false">IRR(G17:L17)</f>
        <v>0.00072554999484047</v>
      </c>
      <c r="N17" s="82" t="n">
        <f aca="false">AVERAGE(B35:F35)/$F17</f>
        <v>1.66797766318254</v>
      </c>
    </row>
    <row r="18" customFormat="false" ht="15" hidden="false" customHeight="false" outlineLevel="0" collapsed="false">
      <c r="A18" s="6" t="str">
        <f aca="false">TEXT($B18,"$0.00")&amp;"/kWh @ "&amp;TEXT($C18,"0%")&amp;" debt"</f>
        <v>$0.10/kWh @ 60% debt</v>
      </c>
      <c r="B18" s="78" t="n">
        <v>0.1</v>
      </c>
      <c r="C18" s="79" t="n">
        <v>0.6</v>
      </c>
      <c r="D18" s="80" t="n">
        <f aca="false">'Control Panel &amp; Inputs'!$C$44*$C18</f>
        <v>201070320</v>
      </c>
      <c r="E18" s="80" t="n">
        <f aca="false">'Control Panel &amp; Inputs'!$C$44-$D18</f>
        <v>134046880</v>
      </c>
      <c r="F18" s="80" t="n">
        <f aca="false">-PMT('Control Panel &amp; Inputs'!$C$47,'Control Panel &amp; Inputs'!$C$48,$D18)</f>
        <v>48384463.4777787</v>
      </c>
      <c r="G18" s="80" t="n">
        <f aca="false">-$E18</f>
        <v>-134046880</v>
      </c>
      <c r="H18" s="80" t="n">
        <f aca="false">B36-IF(1&lt;='Control Panel &amp; Inputs'!$C$48,$F18,0)-MAX(0,B36-IF(1&lt;='Control Panel &amp; Inputs'!$C$50,'Control Panel &amp; Inputs'!$C$44/'Control Panel &amp; Inputs'!$C$50,0)-MIN(IF(1&lt;='Control Panel &amp; Inputs'!$C$48,-IPMT('Control Panel &amp; Inputs'!$C$47,1,'Control Panel &amp; Inputs'!$C$48,$D18),0),'Control Panel &amp; Inputs'!$C$52*B36))*'Control Panel &amp; Inputs'!$C$51</f>
        <v>9734920.18290099</v>
      </c>
      <c r="I18" s="80" t="n">
        <f aca="false">C36-IF(2&lt;='Control Panel &amp; Inputs'!$C$48,$F18,0)-MAX(0,C36-IF(2&lt;='Control Panel &amp; Inputs'!$C$50,'Control Panel &amp; Inputs'!$C$44/'Control Panel &amp; Inputs'!$C$50,0)-MIN(IF(2&lt;='Control Panel &amp; Inputs'!$C$48,-IPMT('Control Panel &amp; Inputs'!$C$47,2,'Control Panel &amp; Inputs'!$C$48,$D18),0),'Control Panel &amp; Inputs'!$C$52*C36))*'Control Panel &amp; Inputs'!$C$51</f>
        <v>19253437.6771589</v>
      </c>
      <c r="J18" s="80" t="n">
        <f aca="false">D36-IF(3&lt;='Control Panel &amp; Inputs'!$C$48,$F18,0)-MAX(0,D36-IF(3&lt;='Control Panel &amp; Inputs'!$C$50,'Control Panel &amp; Inputs'!$C$44/'Control Panel &amp; Inputs'!$C$50,0)-MIN(IF(3&lt;='Control Panel &amp; Inputs'!$C$48,-IPMT('Control Panel &amp; Inputs'!$C$47,3,'Control Panel &amp; Inputs'!$C$48,$D18),0),'Control Panel &amp; Inputs'!$C$52*D36))*'Control Panel &amp; Inputs'!$C$51</f>
        <v>20457233.7982684</v>
      </c>
      <c r="K18" s="80" t="n">
        <f aca="false">E36-IF(4&lt;='Control Panel &amp; Inputs'!$C$48,$F18,0)-MAX(0,E36-IF(4&lt;='Control Panel &amp; Inputs'!$C$50,'Control Panel &amp; Inputs'!$C$44/'Control Panel &amp; Inputs'!$C$50,0)-MIN(IF(4&lt;='Control Panel &amp; Inputs'!$C$48,-IPMT('Control Panel &amp; Inputs'!$C$47,4,'Control Panel &amp; Inputs'!$C$48,$D18),0),'Control Panel &amp; Inputs'!$C$52*E36))*'Control Panel &amp; Inputs'!$C$51</f>
        <v>21752921.7862842</v>
      </c>
      <c r="L18" s="80" t="n">
        <f aca="false">F36-IF(5&lt;='Control Panel &amp; Inputs'!$C$48,$F18,0)-MAX(0,F36-IF(5&lt;='Control Panel &amp; Inputs'!$C$50,'Control Panel &amp; Inputs'!$C$44/'Control Panel &amp; Inputs'!$C$50,0)-MIN(IF(5&lt;='Control Panel &amp; Inputs'!$C$48,-IPMT('Control Panel &amp; Inputs'!$C$47,5,'Control Panel &amp; Inputs'!$C$48,$D18),0),'Control Panel &amp; Inputs'!$C$52*F36))*'Control Panel &amp; Inputs'!$C$51+'Control Panel &amp; Inputs'!$C$44*'Control Panel &amp; Inputs'!$C$45</f>
        <v>56518487.0447527</v>
      </c>
      <c r="M18" s="81" t="n">
        <f aca="false">IRR(G18:L18)</f>
        <v>-0.0127695193347756</v>
      </c>
      <c r="N18" s="82" t="n">
        <f aca="false">AVERAGE(B36:F36)/$F18</f>
        <v>1.38998138598545</v>
      </c>
    </row>
    <row r="19" customFormat="false" ht="15" hidden="false" customHeight="false" outlineLevel="0" collapsed="false">
      <c r="A19" s="6" t="str">
        <f aca="false">TEXT($B19,"$0.00")&amp;"/kWh @ "&amp;TEXT($C19,"0%")&amp;" debt"</f>
        <v>$0.10/kWh @ 70% debt</v>
      </c>
      <c r="B19" s="78" t="n">
        <v>0.1</v>
      </c>
      <c r="C19" s="79" t="n">
        <v>0.7</v>
      </c>
      <c r="D19" s="80" t="n">
        <f aca="false">'Control Panel &amp; Inputs'!$C$44*$C19</f>
        <v>234582040</v>
      </c>
      <c r="E19" s="80" t="n">
        <f aca="false">'Control Panel &amp; Inputs'!$C$44-$D19</f>
        <v>100535160</v>
      </c>
      <c r="F19" s="80" t="n">
        <f aca="false">-PMT('Control Panel &amp; Inputs'!$C$47,'Control Panel &amp; Inputs'!$C$48,$D19)</f>
        <v>56448540.7240751</v>
      </c>
      <c r="G19" s="80" t="n">
        <f aca="false">-$E19</f>
        <v>-100535160</v>
      </c>
      <c r="H19" s="80" t="n">
        <f aca="false">B37-IF(1&lt;='Control Panel &amp; Inputs'!$C$48,$F19,0)-MAX(0,B37-IF(1&lt;='Control Panel &amp; Inputs'!$C$50,'Control Panel &amp; Inputs'!$C$44/'Control Panel &amp; Inputs'!$C$50,0)-MIN(IF(1&lt;='Control Panel &amp; Inputs'!$C$48,-IPMT('Control Panel &amp; Inputs'!$C$47,1,'Control Panel &amp; Inputs'!$C$48,$D19),0),'Control Panel &amp; Inputs'!$C$52*B37))*'Control Panel &amp; Inputs'!$C$51</f>
        <v>1670842.93660454</v>
      </c>
      <c r="I19" s="80" t="n">
        <f aca="false">C37-IF(2&lt;='Control Panel &amp; Inputs'!$C$48,$F19,0)-MAX(0,C37-IF(2&lt;='Control Panel &amp; Inputs'!$C$50,'Control Panel &amp; Inputs'!$C$44/'Control Panel &amp; Inputs'!$C$50,0)-MIN(IF(2&lt;='Control Panel &amp; Inputs'!$C$48,-IPMT('Control Panel &amp; Inputs'!$C$47,2,'Control Panel &amp; Inputs'!$C$48,$D19),0),'Control Panel &amp; Inputs'!$C$52*C37))*'Control Panel &amp; Inputs'!$C$51</f>
        <v>11189360.4308625</v>
      </c>
      <c r="J19" s="80" t="n">
        <f aca="false">D37-IF(3&lt;='Control Panel &amp; Inputs'!$C$48,$F19,0)-MAX(0,D37-IF(3&lt;='Control Panel &amp; Inputs'!$C$50,'Control Panel &amp; Inputs'!$C$44/'Control Panel &amp; Inputs'!$C$50,0)-MIN(IF(3&lt;='Control Panel &amp; Inputs'!$C$48,-IPMT('Control Panel &amp; Inputs'!$C$47,3,'Control Panel &amp; Inputs'!$C$48,$D19),0),'Control Panel &amp; Inputs'!$C$52*D37))*'Control Panel &amp; Inputs'!$C$51</f>
        <v>12393156.551972</v>
      </c>
      <c r="K19" s="80" t="n">
        <f aca="false">E37-IF(4&lt;='Control Panel &amp; Inputs'!$C$48,$F19,0)-MAX(0,E37-IF(4&lt;='Control Panel &amp; Inputs'!$C$50,'Control Panel &amp; Inputs'!$C$44/'Control Panel &amp; Inputs'!$C$50,0)-MIN(IF(4&lt;='Control Panel &amp; Inputs'!$C$48,-IPMT('Control Panel &amp; Inputs'!$C$47,4,'Control Panel &amp; Inputs'!$C$48,$D19),0),'Control Panel &amp; Inputs'!$C$52*E37))*'Control Panel &amp; Inputs'!$C$51</f>
        <v>13688844.5399877</v>
      </c>
      <c r="L19" s="80" t="n">
        <f aca="false">F37-IF(5&lt;='Control Panel &amp; Inputs'!$C$48,$F19,0)-MAX(0,F37-IF(5&lt;='Control Panel &amp; Inputs'!$C$50,'Control Panel &amp; Inputs'!$C$44/'Control Panel &amp; Inputs'!$C$50,0)-MIN(IF(5&lt;='Control Panel &amp; Inputs'!$C$48,-IPMT('Control Panel &amp; Inputs'!$C$47,5,'Control Panel &amp; Inputs'!$C$48,$D19),0),'Control Panel &amp; Inputs'!$C$52*F37))*'Control Panel &amp; Inputs'!$C$51+'Control Panel &amp; Inputs'!$C$44*'Control Panel &amp; Inputs'!$C$45</f>
        <v>48498705.4340345</v>
      </c>
      <c r="M19" s="81" t="n">
        <f aca="false">IRR(G19:L19)</f>
        <v>-0.0332825031375496</v>
      </c>
      <c r="N19" s="82" t="n">
        <f aca="false">AVERAGE(B37:F37)/$F19</f>
        <v>1.19141261655896</v>
      </c>
    </row>
    <row r="20" customFormat="false" ht="15" hidden="false" customHeight="false" outlineLevel="0" collapsed="false">
      <c r="A20" s="6" t="str">
        <f aca="false">TEXT($B20,"$0.00")&amp;"/kWh @ "&amp;TEXT($C20,"0%")&amp;" debt"</f>
        <v>$0.10/kWh @ 80% debt</v>
      </c>
      <c r="B20" s="78" t="n">
        <v>0.1</v>
      </c>
      <c r="C20" s="79" t="n">
        <v>0.8</v>
      </c>
      <c r="D20" s="80" t="n">
        <f aca="false">'Control Panel &amp; Inputs'!$C$44*$C20</f>
        <v>268093760</v>
      </c>
      <c r="E20" s="80" t="n">
        <f aca="false">'Control Panel &amp; Inputs'!$C$44-$D20</f>
        <v>67023440</v>
      </c>
      <c r="F20" s="80" t="n">
        <f aca="false">-PMT('Control Panel &amp; Inputs'!$C$47,'Control Panel &amp; Inputs'!$C$48,$D20)</f>
        <v>64512617.9703716</v>
      </c>
      <c r="G20" s="80" t="n">
        <f aca="false">-$E20</f>
        <v>-67023440</v>
      </c>
      <c r="H20" s="80" t="n">
        <f aca="false">B38-IF(1&lt;='Control Panel &amp; Inputs'!$C$48,$F20,0)-MAX(0,B38-IF(1&lt;='Control Panel &amp; Inputs'!$C$50,'Control Panel &amp; Inputs'!$C$44/'Control Panel &amp; Inputs'!$C$50,0)-MIN(IF(1&lt;='Control Panel &amp; Inputs'!$C$48,-IPMT('Control Panel &amp; Inputs'!$C$47,1,'Control Panel &amp; Inputs'!$C$48,$D20),0),'Control Panel &amp; Inputs'!$C$52*B38))*'Control Panel &amp; Inputs'!$C$51</f>
        <v>-6393234.3096919</v>
      </c>
      <c r="I20" s="80" t="n">
        <f aca="false">C38-IF(2&lt;='Control Panel &amp; Inputs'!$C$48,$F20,0)-MAX(0,C38-IF(2&lt;='Control Panel &amp; Inputs'!$C$50,'Control Panel &amp; Inputs'!$C$44/'Control Panel &amp; Inputs'!$C$50,0)-MIN(IF(2&lt;='Control Panel &amp; Inputs'!$C$48,-IPMT('Control Panel &amp; Inputs'!$C$47,2,'Control Panel &amp; Inputs'!$C$48,$D20),0),'Control Panel &amp; Inputs'!$C$52*C38))*'Control Panel &amp; Inputs'!$C$51</f>
        <v>3125283.18456602</v>
      </c>
      <c r="J20" s="80" t="n">
        <f aca="false">D38-IF(3&lt;='Control Panel &amp; Inputs'!$C$48,$F20,0)-MAX(0,D38-IF(3&lt;='Control Panel &amp; Inputs'!$C$50,'Control Panel &amp; Inputs'!$C$44/'Control Panel &amp; Inputs'!$C$50,0)-MIN(IF(3&lt;='Control Panel &amp; Inputs'!$C$48,-IPMT('Control Panel &amp; Inputs'!$C$47,3,'Control Panel &amp; Inputs'!$C$48,$D20),0),'Control Panel &amp; Inputs'!$C$52*D38))*'Control Panel &amp; Inputs'!$C$51</f>
        <v>4329079.30567552</v>
      </c>
      <c r="K20" s="80" t="n">
        <f aca="false">E38-IF(4&lt;='Control Panel &amp; Inputs'!$C$48,$F20,0)-MAX(0,E38-IF(4&lt;='Control Panel &amp; Inputs'!$C$50,'Control Panel &amp; Inputs'!$C$44/'Control Panel &amp; Inputs'!$C$50,0)-MIN(IF(4&lt;='Control Panel &amp; Inputs'!$C$48,-IPMT('Control Panel &amp; Inputs'!$C$47,4,'Control Panel &amp; Inputs'!$C$48,$D20),0),'Control Panel &amp; Inputs'!$C$52*E38))*'Control Panel &amp; Inputs'!$C$51</f>
        <v>5624767.29369129</v>
      </c>
      <c r="L20" s="80" t="n">
        <f aca="false">F38-IF(5&lt;='Control Panel &amp; Inputs'!$C$48,$F20,0)-MAX(0,F38-IF(5&lt;='Control Panel &amp; Inputs'!$C$50,'Control Panel &amp; Inputs'!$C$44/'Control Panel &amp; Inputs'!$C$50,0)-MIN(IF(5&lt;='Control Panel &amp; Inputs'!$C$48,-IPMT('Control Panel &amp; Inputs'!$C$47,5,'Control Panel &amp; Inputs'!$C$48,$D20),0),'Control Panel &amp; Inputs'!$C$52*F38))*'Control Panel &amp; Inputs'!$C$51+'Control Panel &amp; Inputs'!$C$44*'Control Panel &amp; Inputs'!$C$45</f>
        <v>40478923.8233163</v>
      </c>
      <c r="M20" s="81" t="n">
        <f aca="false">IRR(G20:L20)</f>
        <v>-0.0677738939261027</v>
      </c>
      <c r="N20" s="82" t="n">
        <f aca="false">AVERAGE(B38:F38)/$F20</f>
        <v>1.04248603948909</v>
      </c>
    </row>
    <row r="21" customFormat="false" ht="15" hidden="false" customHeight="false" outlineLevel="0" collapsed="false">
      <c r="A21" s="66" t="s">
        <v>415</v>
      </c>
    </row>
    <row r="22" customFormat="false" ht="15" hidden="false" customHeight="false" outlineLevel="0" collapsed="false">
      <c r="A22" s="3" t="s">
        <v>401</v>
      </c>
      <c r="B22" s="3" t="s">
        <v>416</v>
      </c>
      <c r="C22" s="3" t="s">
        <v>417</v>
      </c>
      <c r="D22" s="3" t="s">
        <v>418</v>
      </c>
      <c r="E22" s="3" t="s">
        <v>419</v>
      </c>
      <c r="F22" s="3" t="s">
        <v>420</v>
      </c>
    </row>
    <row r="23" customFormat="false" ht="15" hidden="false" customHeight="false" outlineLevel="0" collapsed="false">
      <c r="A23" s="83" t="str">
        <f aca="false">A5</f>
        <v>$0.04/kWh @ 50% debt</v>
      </c>
      <c r="B23" s="80" t="n">
        <f aca="false">'Pro Forma Financials'!C$8-'Pro Forma Financials'!C$12-'Pro Forma Financials'!C$10*$B5*POWER(1+'Control Panel &amp; Inputs'!$C$42,0)</f>
        <v>62086833.3388237</v>
      </c>
      <c r="C23" s="80" t="n">
        <f aca="false">'Pro Forma Financials'!D$8-'Pro Forma Financials'!D$12-'Pro Forma Financials'!C$10*$B5*POWER(1+'Control Panel &amp; Inputs'!$C$42,1)</f>
        <v>71684699.8266445</v>
      </c>
      <c r="D23" s="80" t="n">
        <f aca="false">'Pro Forma Financials'!E$8-'Pro Forma Financials'!E$12-'Pro Forma Financials'!C$10*$B5*POWER(1+'Control Panel &amp; Inputs'!$C$42,2)</f>
        <v>72969431.9211881</v>
      </c>
      <c r="E23" s="80" t="n">
        <f aca="false">'Pro Forma Financials'!F$8-'Pro Forma Financials'!F$12-'Pro Forma Financials'!C$10*$B5*POWER(1+'Control Panel &amp; Inputs'!$C$42,3)</f>
        <v>74347674.6021067</v>
      </c>
      <c r="F23" s="80" t="n">
        <f aca="false">'Pro Forma Financials'!G$8-'Pro Forma Financials'!G$12-'Pro Forma Financials'!C$10*$B5*POWER(1+'Control Panel &amp; Inputs'!$C$42,4)</f>
        <v>75825645.7941035</v>
      </c>
    </row>
    <row r="24" customFormat="false" ht="15" hidden="false" customHeight="false" outlineLevel="0" collapsed="false">
      <c r="A24" s="83" t="str">
        <f aca="false">A6</f>
        <v>$0.04/kWh @ 60% debt</v>
      </c>
      <c r="B24" s="80" t="n">
        <f aca="false">'Pro Forma Financials'!C$8-'Pro Forma Financials'!C$12-'Pro Forma Financials'!C$10*$B6*POWER(1+'Control Panel &amp; Inputs'!$C$42,0)</f>
        <v>62086833.3388237</v>
      </c>
      <c r="C24" s="80" t="n">
        <f aca="false">'Pro Forma Financials'!D$8-'Pro Forma Financials'!D$12-'Pro Forma Financials'!C$10*$B6*POWER(1+'Control Panel &amp; Inputs'!$C$42,1)</f>
        <v>71684699.8266445</v>
      </c>
      <c r="D24" s="80" t="n">
        <f aca="false">'Pro Forma Financials'!E$8-'Pro Forma Financials'!E$12-'Pro Forma Financials'!C$10*$B6*POWER(1+'Control Panel &amp; Inputs'!$C$42,2)</f>
        <v>72969431.9211881</v>
      </c>
      <c r="E24" s="80" t="n">
        <f aca="false">'Pro Forma Financials'!F$8-'Pro Forma Financials'!F$12-'Pro Forma Financials'!C$10*$B6*POWER(1+'Control Panel &amp; Inputs'!$C$42,3)</f>
        <v>74347674.6021067</v>
      </c>
      <c r="F24" s="80" t="n">
        <f aca="false">'Pro Forma Financials'!G$8-'Pro Forma Financials'!G$12-'Pro Forma Financials'!C$10*$B6*POWER(1+'Control Panel &amp; Inputs'!$C$42,4)</f>
        <v>75825645.7941035</v>
      </c>
    </row>
    <row r="25" customFormat="false" ht="15" hidden="false" customHeight="false" outlineLevel="0" collapsed="false">
      <c r="A25" s="83" t="str">
        <f aca="false">A7</f>
        <v>$0.04/kWh @ 70% debt</v>
      </c>
      <c r="B25" s="80" t="n">
        <f aca="false">'Pro Forma Financials'!C$8-'Pro Forma Financials'!C$12-'Pro Forma Financials'!C$10*$B7*POWER(1+'Control Panel &amp; Inputs'!$C$42,0)</f>
        <v>62086833.3388237</v>
      </c>
      <c r="C25" s="80" t="n">
        <f aca="false">'Pro Forma Financials'!D$8-'Pro Forma Financials'!D$12-'Pro Forma Financials'!C$10*$B7*POWER(1+'Control Panel &amp; Inputs'!$C$42,1)</f>
        <v>71684699.8266445</v>
      </c>
      <c r="D25" s="80" t="n">
        <f aca="false">'Pro Forma Financials'!E$8-'Pro Forma Financials'!E$12-'Pro Forma Financials'!C$10*$B7*POWER(1+'Control Panel &amp; Inputs'!$C$42,2)</f>
        <v>72969431.9211881</v>
      </c>
      <c r="E25" s="80" t="n">
        <f aca="false">'Pro Forma Financials'!F$8-'Pro Forma Financials'!F$12-'Pro Forma Financials'!C$10*$B7*POWER(1+'Control Panel &amp; Inputs'!$C$42,3)</f>
        <v>74347674.6021067</v>
      </c>
      <c r="F25" s="80" t="n">
        <f aca="false">'Pro Forma Financials'!G$8-'Pro Forma Financials'!G$12-'Pro Forma Financials'!C$10*$B7*POWER(1+'Control Panel &amp; Inputs'!$C$42,4)</f>
        <v>75825645.7941035</v>
      </c>
    </row>
    <row r="26" customFormat="false" ht="15" hidden="false" customHeight="false" outlineLevel="0" collapsed="false">
      <c r="A26" s="83" t="str">
        <f aca="false">A8</f>
        <v>$0.04/kWh @ 80% debt</v>
      </c>
      <c r="B26" s="80" t="n">
        <f aca="false">'Pro Forma Financials'!C$8-'Pro Forma Financials'!C$12-'Pro Forma Financials'!C$10*$B8*POWER(1+'Control Panel &amp; Inputs'!$C$42,0)</f>
        <v>62086833.3388237</v>
      </c>
      <c r="C26" s="80" t="n">
        <f aca="false">'Pro Forma Financials'!D$8-'Pro Forma Financials'!D$12-'Pro Forma Financials'!C$10*$B8*POWER(1+'Control Panel &amp; Inputs'!$C$42,1)</f>
        <v>71684699.8266445</v>
      </c>
      <c r="D26" s="80" t="n">
        <f aca="false">'Pro Forma Financials'!E$8-'Pro Forma Financials'!E$12-'Pro Forma Financials'!C$10*$B8*POWER(1+'Control Panel &amp; Inputs'!$C$42,2)</f>
        <v>72969431.9211881</v>
      </c>
      <c r="E26" s="80" t="n">
        <f aca="false">'Pro Forma Financials'!F$8-'Pro Forma Financials'!F$12-'Pro Forma Financials'!C$10*$B8*POWER(1+'Control Panel &amp; Inputs'!$C$42,3)</f>
        <v>74347674.6021067</v>
      </c>
      <c r="F26" s="80" t="n">
        <f aca="false">'Pro Forma Financials'!G$8-'Pro Forma Financials'!G$12-'Pro Forma Financials'!C$10*$B8*POWER(1+'Control Panel &amp; Inputs'!$C$42,4)</f>
        <v>75825645.7941035</v>
      </c>
    </row>
    <row r="27" customFormat="false" ht="15" hidden="false" customHeight="false" outlineLevel="0" collapsed="false">
      <c r="A27" s="83" t="str">
        <f aca="false">A9</f>
        <v>$0.06/kWh @ 50% debt</v>
      </c>
      <c r="B27" s="80" t="n">
        <f aca="false">'Pro Forma Financials'!C$8-'Pro Forma Financials'!C$12-'Pro Forma Financials'!C$10*$B9*POWER(1+'Control Panel &amp; Inputs'!$C$42,0)</f>
        <v>60764350.1127757</v>
      </c>
      <c r="C27" s="80" t="n">
        <f aca="false">'Pro Forma Financials'!D$8-'Pro Forma Financials'!D$12-'Pro Forma Financials'!C$10*$B9*POWER(1+'Control Panel &amp; Inputs'!$C$42,1)</f>
        <v>70335766.9360755</v>
      </c>
      <c r="D27" s="80" t="n">
        <f aca="false">'Pro Forma Financials'!E$8-'Pro Forma Financials'!E$12-'Pro Forma Financials'!C$10*$B9*POWER(1+'Control Panel &amp; Inputs'!$C$42,2)</f>
        <v>71593520.3728078</v>
      </c>
      <c r="E27" s="80" t="n">
        <f aca="false">'Pro Forma Financials'!F$8-'Pro Forma Financials'!F$12-'Pro Forma Financials'!C$10*$B9*POWER(1+'Control Panel &amp; Inputs'!$C$42,3)</f>
        <v>72944244.8227588</v>
      </c>
      <c r="F27" s="80" t="n">
        <f aca="false">'Pro Forma Financials'!G$8-'Pro Forma Financials'!G$12-'Pro Forma Financials'!C$10*$B9*POWER(1+'Control Panel &amp; Inputs'!$C$42,4)</f>
        <v>74394147.4191686</v>
      </c>
    </row>
    <row r="28" customFormat="false" ht="15" hidden="false" customHeight="false" outlineLevel="0" collapsed="false">
      <c r="A28" s="83" t="str">
        <f aca="false">A10</f>
        <v>$0.06/kWh @ 60% debt</v>
      </c>
      <c r="B28" s="80" t="n">
        <f aca="false">'Pro Forma Financials'!C$8-'Pro Forma Financials'!C$12-'Pro Forma Financials'!C$10*$B10*POWER(1+'Control Panel &amp; Inputs'!$C$42,0)</f>
        <v>60764350.1127757</v>
      </c>
      <c r="C28" s="80" t="n">
        <f aca="false">'Pro Forma Financials'!D$8-'Pro Forma Financials'!D$12-'Pro Forma Financials'!C$10*$B10*POWER(1+'Control Panel &amp; Inputs'!$C$42,1)</f>
        <v>70335766.9360755</v>
      </c>
      <c r="D28" s="80" t="n">
        <f aca="false">'Pro Forma Financials'!E$8-'Pro Forma Financials'!E$12-'Pro Forma Financials'!C$10*$B10*POWER(1+'Control Panel &amp; Inputs'!$C$42,2)</f>
        <v>71593520.3728078</v>
      </c>
      <c r="E28" s="80" t="n">
        <f aca="false">'Pro Forma Financials'!F$8-'Pro Forma Financials'!F$12-'Pro Forma Financials'!C$10*$B10*POWER(1+'Control Panel &amp; Inputs'!$C$42,3)</f>
        <v>72944244.8227588</v>
      </c>
      <c r="F28" s="80" t="n">
        <f aca="false">'Pro Forma Financials'!G$8-'Pro Forma Financials'!G$12-'Pro Forma Financials'!C$10*$B10*POWER(1+'Control Panel &amp; Inputs'!$C$42,4)</f>
        <v>74394147.4191686</v>
      </c>
    </row>
    <row r="29" customFormat="false" ht="15" hidden="false" customHeight="false" outlineLevel="0" collapsed="false">
      <c r="A29" s="83" t="str">
        <f aca="false">A11</f>
        <v>$0.06/kWh @ 70% debt</v>
      </c>
      <c r="B29" s="80" t="n">
        <f aca="false">'Pro Forma Financials'!C$8-'Pro Forma Financials'!C$12-'Pro Forma Financials'!C$10*$B11*POWER(1+'Control Panel &amp; Inputs'!$C$42,0)</f>
        <v>60764350.1127757</v>
      </c>
      <c r="C29" s="80" t="n">
        <f aca="false">'Pro Forma Financials'!D$8-'Pro Forma Financials'!D$12-'Pro Forma Financials'!C$10*$B11*POWER(1+'Control Panel &amp; Inputs'!$C$42,1)</f>
        <v>70335766.9360755</v>
      </c>
      <c r="D29" s="80" t="n">
        <f aca="false">'Pro Forma Financials'!E$8-'Pro Forma Financials'!E$12-'Pro Forma Financials'!C$10*$B11*POWER(1+'Control Panel &amp; Inputs'!$C$42,2)</f>
        <v>71593520.3728078</v>
      </c>
      <c r="E29" s="80" t="n">
        <f aca="false">'Pro Forma Financials'!F$8-'Pro Forma Financials'!F$12-'Pro Forma Financials'!C$10*$B11*POWER(1+'Control Panel &amp; Inputs'!$C$42,3)</f>
        <v>72944244.8227588</v>
      </c>
      <c r="F29" s="80" t="n">
        <f aca="false">'Pro Forma Financials'!G$8-'Pro Forma Financials'!G$12-'Pro Forma Financials'!C$10*$B11*POWER(1+'Control Panel &amp; Inputs'!$C$42,4)</f>
        <v>74394147.4191686</v>
      </c>
    </row>
    <row r="30" customFormat="false" ht="15" hidden="false" customHeight="false" outlineLevel="0" collapsed="false">
      <c r="A30" s="83" t="str">
        <f aca="false">A12</f>
        <v>$0.06/kWh @ 80% debt</v>
      </c>
      <c r="B30" s="80" t="n">
        <f aca="false">'Pro Forma Financials'!C$8-'Pro Forma Financials'!C$12-'Pro Forma Financials'!C$10*$B12*POWER(1+'Control Panel &amp; Inputs'!$C$42,0)</f>
        <v>60764350.1127757</v>
      </c>
      <c r="C30" s="80" t="n">
        <f aca="false">'Pro Forma Financials'!D$8-'Pro Forma Financials'!D$12-'Pro Forma Financials'!C$10*$B12*POWER(1+'Control Panel &amp; Inputs'!$C$42,1)</f>
        <v>70335766.9360755</v>
      </c>
      <c r="D30" s="80" t="n">
        <f aca="false">'Pro Forma Financials'!E$8-'Pro Forma Financials'!E$12-'Pro Forma Financials'!C$10*$B12*POWER(1+'Control Panel &amp; Inputs'!$C$42,2)</f>
        <v>71593520.3728078</v>
      </c>
      <c r="E30" s="80" t="n">
        <f aca="false">'Pro Forma Financials'!F$8-'Pro Forma Financials'!F$12-'Pro Forma Financials'!C$10*$B12*POWER(1+'Control Panel &amp; Inputs'!$C$42,3)</f>
        <v>72944244.8227588</v>
      </c>
      <c r="F30" s="80" t="n">
        <f aca="false">'Pro Forma Financials'!G$8-'Pro Forma Financials'!G$12-'Pro Forma Financials'!C$10*$B12*POWER(1+'Control Panel &amp; Inputs'!$C$42,4)</f>
        <v>74394147.4191686</v>
      </c>
    </row>
    <row r="31" customFormat="false" ht="15" hidden="false" customHeight="false" outlineLevel="0" collapsed="false">
      <c r="A31" s="83" t="str">
        <f aca="false">A13</f>
        <v>$0.08/kWh @ 50% debt</v>
      </c>
      <c r="B31" s="80" t="n">
        <f aca="false">'Pro Forma Financials'!C$8-'Pro Forma Financials'!C$12-'Pro Forma Financials'!C$10*$B13*POWER(1+'Control Panel &amp; Inputs'!$C$42,0)</f>
        <v>59441866.8867277</v>
      </c>
      <c r="C31" s="80" t="n">
        <f aca="false">'Pro Forma Financials'!D$8-'Pro Forma Financials'!D$12-'Pro Forma Financials'!C$10*$B13*POWER(1+'Control Panel &amp; Inputs'!$C$42,1)</f>
        <v>68986834.0455066</v>
      </c>
      <c r="D31" s="80" t="n">
        <f aca="false">'Pro Forma Financials'!E$8-'Pro Forma Financials'!E$12-'Pro Forma Financials'!C$10*$B13*POWER(1+'Control Panel &amp; Inputs'!$C$42,2)</f>
        <v>70217608.8244274</v>
      </c>
      <c r="E31" s="80" t="n">
        <f aca="false">'Pro Forma Financials'!F$8-'Pro Forma Financials'!F$12-'Pro Forma Financials'!C$10*$B13*POWER(1+'Control Panel &amp; Inputs'!$C$42,3)</f>
        <v>71540815.0434108</v>
      </c>
      <c r="F31" s="80" t="n">
        <f aca="false">'Pro Forma Financials'!G$8-'Pro Forma Financials'!G$12-'Pro Forma Financials'!C$10*$B13*POWER(1+'Control Panel &amp; Inputs'!$C$42,4)</f>
        <v>72962649.0442337</v>
      </c>
    </row>
    <row r="32" customFormat="false" ht="15" hidden="false" customHeight="false" outlineLevel="0" collapsed="false">
      <c r="A32" s="83" t="str">
        <f aca="false">A14</f>
        <v>$0.08/kWh @ 60% debt</v>
      </c>
      <c r="B32" s="80" t="n">
        <f aca="false">'Pro Forma Financials'!C$8-'Pro Forma Financials'!C$12-'Pro Forma Financials'!C$10*$B14*POWER(1+'Control Panel &amp; Inputs'!$C$42,0)</f>
        <v>59441866.8867277</v>
      </c>
      <c r="C32" s="80" t="n">
        <f aca="false">'Pro Forma Financials'!D$8-'Pro Forma Financials'!D$12-'Pro Forma Financials'!C$10*$B14*POWER(1+'Control Panel &amp; Inputs'!$C$42,1)</f>
        <v>68986834.0455066</v>
      </c>
      <c r="D32" s="80" t="n">
        <f aca="false">'Pro Forma Financials'!E$8-'Pro Forma Financials'!E$12-'Pro Forma Financials'!C$10*$B14*POWER(1+'Control Panel &amp; Inputs'!$C$42,2)</f>
        <v>70217608.8244274</v>
      </c>
      <c r="E32" s="80" t="n">
        <f aca="false">'Pro Forma Financials'!F$8-'Pro Forma Financials'!F$12-'Pro Forma Financials'!C$10*$B14*POWER(1+'Control Panel &amp; Inputs'!$C$42,3)</f>
        <v>71540815.0434108</v>
      </c>
      <c r="F32" s="80" t="n">
        <f aca="false">'Pro Forma Financials'!G$8-'Pro Forma Financials'!G$12-'Pro Forma Financials'!C$10*$B14*POWER(1+'Control Panel &amp; Inputs'!$C$42,4)</f>
        <v>72962649.0442337</v>
      </c>
    </row>
    <row r="33" customFormat="false" ht="15" hidden="false" customHeight="false" outlineLevel="0" collapsed="false">
      <c r="A33" s="83" t="str">
        <f aca="false">A15</f>
        <v>$0.08/kWh @ 70% debt</v>
      </c>
      <c r="B33" s="80" t="n">
        <f aca="false">'Pro Forma Financials'!C$8-'Pro Forma Financials'!C$12-'Pro Forma Financials'!C$10*$B15*POWER(1+'Control Panel &amp; Inputs'!$C$42,0)</f>
        <v>59441866.8867277</v>
      </c>
      <c r="C33" s="80" t="n">
        <f aca="false">'Pro Forma Financials'!D$8-'Pro Forma Financials'!D$12-'Pro Forma Financials'!C$10*$B15*POWER(1+'Control Panel &amp; Inputs'!$C$42,1)</f>
        <v>68986834.0455066</v>
      </c>
      <c r="D33" s="80" t="n">
        <f aca="false">'Pro Forma Financials'!E$8-'Pro Forma Financials'!E$12-'Pro Forma Financials'!C$10*$B15*POWER(1+'Control Panel &amp; Inputs'!$C$42,2)</f>
        <v>70217608.8244274</v>
      </c>
      <c r="E33" s="80" t="n">
        <f aca="false">'Pro Forma Financials'!F$8-'Pro Forma Financials'!F$12-'Pro Forma Financials'!C$10*$B15*POWER(1+'Control Panel &amp; Inputs'!$C$42,3)</f>
        <v>71540815.0434108</v>
      </c>
      <c r="F33" s="80" t="n">
        <f aca="false">'Pro Forma Financials'!G$8-'Pro Forma Financials'!G$12-'Pro Forma Financials'!C$10*$B15*POWER(1+'Control Panel &amp; Inputs'!$C$42,4)</f>
        <v>72962649.0442337</v>
      </c>
    </row>
    <row r="34" customFormat="false" ht="15" hidden="false" customHeight="false" outlineLevel="0" collapsed="false">
      <c r="A34" s="83" t="str">
        <f aca="false">A16</f>
        <v>$0.08/kWh @ 80% debt</v>
      </c>
      <c r="B34" s="80" t="n">
        <f aca="false">'Pro Forma Financials'!C$8-'Pro Forma Financials'!C$12-'Pro Forma Financials'!C$10*$B16*POWER(1+'Control Panel &amp; Inputs'!$C$42,0)</f>
        <v>59441866.8867277</v>
      </c>
      <c r="C34" s="80" t="n">
        <f aca="false">'Pro Forma Financials'!D$8-'Pro Forma Financials'!D$12-'Pro Forma Financials'!C$10*$B16*POWER(1+'Control Panel &amp; Inputs'!$C$42,1)</f>
        <v>68986834.0455066</v>
      </c>
      <c r="D34" s="80" t="n">
        <f aca="false">'Pro Forma Financials'!E$8-'Pro Forma Financials'!E$12-'Pro Forma Financials'!C$10*$B16*POWER(1+'Control Panel &amp; Inputs'!$C$42,2)</f>
        <v>70217608.8244274</v>
      </c>
      <c r="E34" s="80" t="n">
        <f aca="false">'Pro Forma Financials'!F$8-'Pro Forma Financials'!F$12-'Pro Forma Financials'!C$10*$B16*POWER(1+'Control Panel &amp; Inputs'!$C$42,3)</f>
        <v>71540815.0434108</v>
      </c>
      <c r="F34" s="80" t="n">
        <f aca="false">'Pro Forma Financials'!G$8-'Pro Forma Financials'!G$12-'Pro Forma Financials'!C$10*$B16*POWER(1+'Control Panel &amp; Inputs'!$C$42,4)</f>
        <v>72962649.0442337</v>
      </c>
    </row>
    <row r="35" customFormat="false" ht="15" hidden="false" customHeight="false" outlineLevel="0" collapsed="false">
      <c r="A35" s="83" t="str">
        <f aca="false">A17</f>
        <v>$0.10/kWh @ 50% debt</v>
      </c>
      <c r="B35" s="80" t="n">
        <f aca="false">'Pro Forma Financials'!C$8-'Pro Forma Financials'!C$12-'Pro Forma Financials'!C$10*$B17*POWER(1+'Control Panel &amp; Inputs'!$C$42,0)</f>
        <v>58119383.6606797</v>
      </c>
      <c r="C35" s="80" t="n">
        <f aca="false">'Pro Forma Financials'!D$8-'Pro Forma Financials'!D$12-'Pro Forma Financials'!C$10*$B17*POWER(1+'Control Panel &amp; Inputs'!$C$42,1)</f>
        <v>67637901.1549376</v>
      </c>
      <c r="D35" s="80" t="n">
        <f aca="false">'Pro Forma Financials'!E$8-'Pro Forma Financials'!E$12-'Pro Forma Financials'!C$10*$B17*POWER(1+'Control Panel &amp; Inputs'!$C$42,2)</f>
        <v>68841697.2760471</v>
      </c>
      <c r="E35" s="80" t="n">
        <f aca="false">'Pro Forma Financials'!F$8-'Pro Forma Financials'!F$12-'Pro Forma Financials'!C$10*$B17*POWER(1+'Control Panel &amp; Inputs'!$C$42,3)</f>
        <v>70137385.2640629</v>
      </c>
      <c r="F35" s="80" t="n">
        <f aca="false">'Pro Forma Financials'!G$8-'Pro Forma Financials'!G$12-'Pro Forma Financials'!C$10*$B17*POWER(1+'Control Panel &amp; Inputs'!$C$42,4)</f>
        <v>71531150.6692988</v>
      </c>
    </row>
    <row r="36" customFormat="false" ht="15" hidden="false" customHeight="false" outlineLevel="0" collapsed="false">
      <c r="A36" s="83" t="str">
        <f aca="false">A18</f>
        <v>$0.10/kWh @ 60% debt</v>
      </c>
      <c r="B36" s="80" t="n">
        <f aca="false">'Pro Forma Financials'!C$8-'Pro Forma Financials'!C$12-'Pro Forma Financials'!C$10*$B18*POWER(1+'Control Panel &amp; Inputs'!$C$42,0)</f>
        <v>58119383.6606797</v>
      </c>
      <c r="C36" s="80" t="n">
        <f aca="false">'Pro Forma Financials'!D$8-'Pro Forma Financials'!D$12-'Pro Forma Financials'!C$10*$B18*POWER(1+'Control Panel &amp; Inputs'!$C$42,1)</f>
        <v>67637901.1549376</v>
      </c>
      <c r="D36" s="80" t="n">
        <f aca="false">'Pro Forma Financials'!E$8-'Pro Forma Financials'!E$12-'Pro Forma Financials'!C$10*$B18*POWER(1+'Control Panel &amp; Inputs'!$C$42,2)</f>
        <v>68841697.2760471</v>
      </c>
      <c r="E36" s="80" t="n">
        <f aca="false">'Pro Forma Financials'!F$8-'Pro Forma Financials'!F$12-'Pro Forma Financials'!C$10*$B18*POWER(1+'Control Panel &amp; Inputs'!$C$42,3)</f>
        <v>70137385.2640629</v>
      </c>
      <c r="F36" s="80" t="n">
        <f aca="false">'Pro Forma Financials'!G$8-'Pro Forma Financials'!G$12-'Pro Forma Financials'!C$10*$B18*POWER(1+'Control Panel &amp; Inputs'!$C$42,4)</f>
        <v>71531150.6692988</v>
      </c>
    </row>
    <row r="37" customFormat="false" ht="15" hidden="false" customHeight="false" outlineLevel="0" collapsed="false">
      <c r="A37" s="83" t="str">
        <f aca="false">A19</f>
        <v>$0.10/kWh @ 70% debt</v>
      </c>
      <c r="B37" s="80" t="n">
        <f aca="false">'Pro Forma Financials'!C$8-'Pro Forma Financials'!C$12-'Pro Forma Financials'!C$10*$B19*POWER(1+'Control Panel &amp; Inputs'!$C$42,0)</f>
        <v>58119383.6606797</v>
      </c>
      <c r="C37" s="80" t="n">
        <f aca="false">'Pro Forma Financials'!D$8-'Pro Forma Financials'!D$12-'Pro Forma Financials'!C$10*$B19*POWER(1+'Control Panel &amp; Inputs'!$C$42,1)</f>
        <v>67637901.1549376</v>
      </c>
      <c r="D37" s="80" t="n">
        <f aca="false">'Pro Forma Financials'!E$8-'Pro Forma Financials'!E$12-'Pro Forma Financials'!C$10*$B19*POWER(1+'Control Panel &amp; Inputs'!$C$42,2)</f>
        <v>68841697.2760471</v>
      </c>
      <c r="E37" s="80" t="n">
        <f aca="false">'Pro Forma Financials'!F$8-'Pro Forma Financials'!F$12-'Pro Forma Financials'!C$10*$B19*POWER(1+'Control Panel &amp; Inputs'!$C$42,3)</f>
        <v>70137385.2640629</v>
      </c>
      <c r="F37" s="80" t="n">
        <f aca="false">'Pro Forma Financials'!G$8-'Pro Forma Financials'!G$12-'Pro Forma Financials'!C$10*$B19*POWER(1+'Control Panel &amp; Inputs'!$C$42,4)</f>
        <v>71531150.6692988</v>
      </c>
    </row>
    <row r="38" customFormat="false" ht="15" hidden="false" customHeight="false" outlineLevel="0" collapsed="false">
      <c r="A38" s="83" t="str">
        <f aca="false">A20</f>
        <v>$0.10/kWh @ 80% debt</v>
      </c>
      <c r="B38" s="80" t="n">
        <f aca="false">'Pro Forma Financials'!C$8-'Pro Forma Financials'!C$12-'Pro Forma Financials'!C$10*$B20*POWER(1+'Control Panel &amp; Inputs'!$C$42,0)</f>
        <v>58119383.6606797</v>
      </c>
      <c r="C38" s="80" t="n">
        <f aca="false">'Pro Forma Financials'!D$8-'Pro Forma Financials'!D$12-'Pro Forma Financials'!C$10*$B20*POWER(1+'Control Panel &amp; Inputs'!$C$42,1)</f>
        <v>67637901.1549376</v>
      </c>
      <c r="D38" s="80" t="n">
        <f aca="false">'Pro Forma Financials'!E$8-'Pro Forma Financials'!E$12-'Pro Forma Financials'!C$10*$B20*POWER(1+'Control Panel &amp; Inputs'!$C$42,2)</f>
        <v>68841697.2760471</v>
      </c>
      <c r="E38" s="80" t="n">
        <f aca="false">'Pro Forma Financials'!F$8-'Pro Forma Financials'!F$12-'Pro Forma Financials'!C$10*$B20*POWER(1+'Control Panel &amp; Inputs'!$C$42,3)</f>
        <v>70137385.2640629</v>
      </c>
      <c r="F38" s="80" t="n">
        <f aca="false">'Pro Forma Financials'!G$8-'Pro Forma Financials'!G$12-'Pro Forma Financials'!C$10*$B20*POWER(1+'Control Panel &amp; Inputs'!$C$42,4)</f>
        <v>71531150.6692988</v>
      </c>
    </row>
  </sheetData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8"/>
    <col collapsed="false" customWidth="true" hidden="false" outlineLevel="0" max="6" min="6" style="0" width="14"/>
  </cols>
  <sheetData>
    <row r="1" customFormat="false" ht="25.5" hidden="false" customHeight="true" outlineLevel="0" collapsed="false">
      <c r="A1" s="1" t="s">
        <v>421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422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66" t="s">
        <v>423</v>
      </c>
    </row>
    <row r="5" customFormat="false" ht="15" hidden="false" customHeight="false" outlineLevel="0" collapsed="false">
      <c r="A5" s="3" t="s">
        <v>424</v>
      </c>
      <c r="B5" s="3" t="str">
        <f aca="false">TEXT('Sensitivity Engine'!$C$5,"0%")&amp;" Debt"</f>
        <v>50% Debt</v>
      </c>
      <c r="C5" s="3" t="str">
        <f aca="false">TEXT('Sensitivity Engine'!$C$6,"0%")&amp;" Debt"</f>
        <v>60% Debt</v>
      </c>
      <c r="D5" s="3" t="str">
        <f aca="false">TEXT('Sensitivity Engine'!$C$7,"0%")&amp;" Debt"</f>
        <v>70% Debt</v>
      </c>
      <c r="E5" s="3" t="str">
        <f aca="false">TEXT('Sensitivity Engine'!$C$8,"0%")&amp;" Debt"</f>
        <v>80% Debt</v>
      </c>
    </row>
    <row r="6" customFormat="false" ht="15" hidden="false" customHeight="false" outlineLevel="0" collapsed="false">
      <c r="A6" s="6" t="str">
        <f aca="false">TEXT('Sensitivity Engine'!$B$5,"$0.00")&amp;" / kWh"</f>
        <v>$0.04 / kWh</v>
      </c>
      <c r="B6" s="84" t="n">
        <f aca="false">'Sensitivity Engine'!M5</f>
        <v>0.0337070096722301</v>
      </c>
      <c r="C6" s="84" t="n">
        <f aca="false">'Sensitivity Engine'!M6</f>
        <v>0.0273884979465043</v>
      </c>
      <c r="D6" s="84" t="n">
        <f aca="false">'Sensitivity Engine'!M7</f>
        <v>0.0177702105428679</v>
      </c>
      <c r="E6" s="84" t="n">
        <f aca="false">'Sensitivity Engine'!M8</f>
        <v>0.00135032626637098</v>
      </c>
    </row>
    <row r="7" customFormat="false" ht="15" hidden="false" customHeight="false" outlineLevel="0" collapsed="false">
      <c r="A7" s="6" t="str">
        <f aca="false">TEXT('Sensitivity Engine'!$B$9,"$0.00")&amp;" / kWh"</f>
        <v>$0.06 / kWh</v>
      </c>
      <c r="B7" s="84" t="n">
        <f aca="false">'Sensitivity Engine'!M9</f>
        <v>0.0228912959711814</v>
      </c>
      <c r="C7" s="84" t="n">
        <f aca="false">'Sensitivity Engine'!M10</f>
        <v>0.0142907188238313</v>
      </c>
      <c r="D7" s="84" t="n">
        <f aca="false">'Sensitivity Engine'!M11</f>
        <v>0.00103686365560702</v>
      </c>
      <c r="E7" s="84" t="n">
        <f aca="false">'Sensitivity Engine'!M12</f>
        <v>-0.0214572858678818</v>
      </c>
    </row>
    <row r="8" customFormat="false" ht="15" hidden="false" customHeight="false" outlineLevel="0" collapsed="false">
      <c r="A8" s="6" t="str">
        <f aca="false">TEXT('Sensitivity Engine'!$B$13,"$0.00")&amp;" / kWh"</f>
        <v>$0.08 / kWh</v>
      </c>
      <c r="B8" s="84" t="n">
        <f aca="false">'Sensitivity Engine'!M13</f>
        <v>0.0119444660484369</v>
      </c>
      <c r="C8" s="84" t="n">
        <f aca="false">'Sensitivity Engine'!M14</f>
        <v>0.000849823326162686</v>
      </c>
      <c r="D8" s="84" t="n">
        <f aca="false">'Sensitivity Engine'!M15</f>
        <v>-0.0160239933487293</v>
      </c>
      <c r="E8" s="84" t="n">
        <f aca="false">'Sensitivity Engine'!M16</f>
        <v>-0.0444931314018822</v>
      </c>
    </row>
    <row r="9" customFormat="false" ht="15" hidden="false" customHeight="false" outlineLevel="0" collapsed="false">
      <c r="A9" s="6" t="str">
        <f aca="false">TEXT('Sensitivity Engine'!$B$17,"$0.00")&amp;" / kWh"</f>
        <v>$0.10 / kWh</v>
      </c>
      <c r="B9" s="84" t="n">
        <f aca="false">'Sensitivity Engine'!M17</f>
        <v>0.00072554999484047</v>
      </c>
      <c r="C9" s="84" t="n">
        <f aca="false">'Sensitivity Engine'!M18</f>
        <v>-0.0127695193347756</v>
      </c>
      <c r="D9" s="84" t="n">
        <f aca="false">'Sensitivity Engine'!M19</f>
        <v>-0.0332825031375496</v>
      </c>
      <c r="E9" s="84" t="n">
        <f aca="false">'Sensitivity Engine'!M20</f>
        <v>-0.0677738939261027</v>
      </c>
    </row>
    <row r="12" customFormat="false" ht="15" hidden="false" customHeight="false" outlineLevel="0" collapsed="false">
      <c r="A12" s="66" t="s">
        <v>425</v>
      </c>
    </row>
    <row r="13" customFormat="false" ht="15" hidden="false" customHeight="false" outlineLevel="0" collapsed="false">
      <c r="A13" s="3" t="s">
        <v>424</v>
      </c>
      <c r="B13" s="3" t="str">
        <f aca="false">TEXT('Sensitivity Engine'!$C$5,"0%")&amp;" Debt"</f>
        <v>50% Debt</v>
      </c>
      <c r="C13" s="3" t="str">
        <f aca="false">TEXT('Sensitivity Engine'!$C$6,"0%")&amp;" Debt"</f>
        <v>60% Debt</v>
      </c>
      <c r="D13" s="3" t="str">
        <f aca="false">TEXT('Sensitivity Engine'!$C$7,"0%")&amp;" Debt"</f>
        <v>70% Debt</v>
      </c>
      <c r="E13" s="3" t="str">
        <f aca="false">TEXT('Sensitivity Engine'!$C$8,"0%")&amp;" Debt"</f>
        <v>80% Debt</v>
      </c>
    </row>
    <row r="14" customFormat="false" ht="15" hidden="false" customHeight="false" outlineLevel="0" collapsed="false">
      <c r="A14" s="6" t="str">
        <f aca="false">TEXT('Sensitivity Engine'!$B$5,"$0.00")&amp;" / kWh"</f>
        <v>$0.04 / kWh</v>
      </c>
      <c r="B14" s="85" t="n">
        <f aca="false">'Sensitivity Engine'!N5</f>
        <v>1.77039120326773</v>
      </c>
      <c r="C14" s="85" t="n">
        <f aca="false">'Sensitivity Engine'!N6</f>
        <v>1.47532600272311</v>
      </c>
      <c r="D14" s="85" t="n">
        <f aca="false">'Sensitivity Engine'!N7</f>
        <v>1.26456514519123</v>
      </c>
      <c r="E14" s="85" t="n">
        <f aca="false">'Sensitivity Engine'!N8</f>
        <v>1.10649450204233</v>
      </c>
    </row>
    <row r="15" customFormat="false" ht="15" hidden="false" customHeight="false" outlineLevel="0" collapsed="false">
      <c r="A15" s="6" t="str">
        <f aca="false">TEXT('Sensitivity Engine'!$B$9,"$0.00")&amp;" / kWh"</f>
        <v>$0.06 / kWh</v>
      </c>
      <c r="B15" s="85" t="n">
        <f aca="false">'Sensitivity Engine'!N9</f>
        <v>1.73625335657266</v>
      </c>
      <c r="C15" s="85" t="n">
        <f aca="false">'Sensitivity Engine'!N10</f>
        <v>1.44687779714389</v>
      </c>
      <c r="D15" s="85" t="n">
        <f aca="false">'Sensitivity Engine'!N11</f>
        <v>1.24018096898047</v>
      </c>
      <c r="E15" s="85" t="n">
        <f aca="false">'Sensitivity Engine'!N12</f>
        <v>1.08515834785792</v>
      </c>
    </row>
    <row r="16" customFormat="false" ht="15" hidden="false" customHeight="false" outlineLevel="0" collapsed="false">
      <c r="A16" s="6" t="str">
        <f aca="false">TEXT('Sensitivity Engine'!$B$13,"$0.00")&amp;" / kWh"</f>
        <v>$0.08 / kWh</v>
      </c>
      <c r="B16" s="85" t="n">
        <f aca="false">'Sensitivity Engine'!N13</f>
        <v>1.7021155098776</v>
      </c>
      <c r="C16" s="85" t="n">
        <f aca="false">'Sensitivity Engine'!N14</f>
        <v>1.41842959156467</v>
      </c>
      <c r="D16" s="85" t="n">
        <f aca="false">'Sensitivity Engine'!N15</f>
        <v>1.21579679276972</v>
      </c>
      <c r="E16" s="85" t="n">
        <f aca="false">'Sensitivity Engine'!N16</f>
        <v>1.0638221936735</v>
      </c>
    </row>
    <row r="17" customFormat="false" ht="15" hidden="false" customHeight="false" outlineLevel="0" collapsed="false">
      <c r="A17" s="6" t="str">
        <f aca="false">TEXT('Sensitivity Engine'!$B$17,"$0.00")&amp;" / kWh"</f>
        <v>$0.10 / kWh</v>
      </c>
      <c r="B17" s="85" t="n">
        <f aca="false">'Sensitivity Engine'!N17</f>
        <v>1.66797766318254</v>
      </c>
      <c r="C17" s="85" t="n">
        <f aca="false">'Sensitivity Engine'!N18</f>
        <v>1.38998138598545</v>
      </c>
      <c r="D17" s="85" t="n">
        <f aca="false">'Sensitivity Engine'!N19</f>
        <v>1.19141261655896</v>
      </c>
      <c r="E17" s="85" t="n">
        <f aca="false">'Sensitivity Engine'!N20</f>
        <v>1.04248603948909</v>
      </c>
    </row>
  </sheetData>
  <mergeCells count="2">
    <mergeCell ref="A1:F1"/>
    <mergeCell ref="A2:F2"/>
  </mergeCells>
  <conditionalFormatting sqref="B6:E9">
    <cfRule type="colorScale" priority="2">
      <colorScale>
        <cfvo type="min" val="0"/>
        <cfvo type="max" val="0"/>
        <color rgb="FFFFFFFF"/>
        <color rgb="FF9DC3E6"/>
      </colorScale>
    </cfRule>
    <cfRule type="cellIs" priority="3" operator="lessThan" aboveAverage="0" equalAverage="0" bottom="0" percent="0" rank="0" text="" dxfId="1">
      <formula>'Control Panel &amp; Inputs'!$C$53</formula>
    </cfRule>
  </conditionalFormatting>
  <conditionalFormatting sqref="B14:E17">
    <cfRule type="colorScale" priority="4">
      <colorScale>
        <cfvo type="min" val="0"/>
        <cfvo type="max" val="0"/>
        <color rgb="FFFFFFFF"/>
        <color rgb="FF9DC3E6"/>
      </colorScale>
    </cfRule>
    <cfRule type="cellIs" priority="5" operator="lessThan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A0"/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8"/>
  </cols>
  <sheetData>
    <row r="1" customFormat="false" ht="25.5" hidden="false" customHeight="true" outlineLevel="0" collapsed="false">
      <c r="A1" s="1" t="s">
        <v>426</v>
      </c>
      <c r="B1" s="1"/>
      <c r="C1" s="1"/>
      <c r="D1" s="1"/>
      <c r="E1" s="1"/>
      <c r="F1" s="1"/>
    </row>
    <row r="2" customFormat="false" ht="15" hidden="false" customHeight="true" outlineLevel="0" collapsed="false">
      <c r="A2" s="2" t="s">
        <v>427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428</v>
      </c>
      <c r="B4" s="3" t="s">
        <v>330</v>
      </c>
      <c r="C4" s="3" t="s">
        <v>331</v>
      </c>
      <c r="D4" s="3" t="s">
        <v>332</v>
      </c>
      <c r="E4" s="3" t="s">
        <v>333</v>
      </c>
      <c r="F4" s="3" t="s">
        <v>334</v>
      </c>
    </row>
    <row r="5" customFormat="false" ht="15" hidden="false" customHeight="false" outlineLevel="0" collapsed="false">
      <c r="A5" s="6" t="s">
        <v>429</v>
      </c>
      <c r="B5" s="28" t="n">
        <v>2</v>
      </c>
      <c r="C5" s="28" t="n">
        <v>2</v>
      </c>
      <c r="D5" s="28" t="n">
        <v>4</v>
      </c>
      <c r="E5" s="28" t="n">
        <v>4</v>
      </c>
      <c r="F5" s="28" t="n">
        <v>4</v>
      </c>
    </row>
    <row r="6" customFormat="false" ht="15" hidden="false" customHeight="false" outlineLevel="0" collapsed="false">
      <c r="A6" s="67" t="s">
        <v>430</v>
      </c>
      <c r="B6" s="62" t="n">
        <f aca="false">B5</f>
        <v>2</v>
      </c>
      <c r="C6" s="62" t="n">
        <f aca="false">B6+C5</f>
        <v>4</v>
      </c>
      <c r="D6" s="62" t="n">
        <f aca="false">C6+D5</f>
        <v>8</v>
      </c>
      <c r="E6" s="62" t="n">
        <f aca="false">D6+E5</f>
        <v>12</v>
      </c>
      <c r="F6" s="62" t="n">
        <f aca="false">E6+F5</f>
        <v>16</v>
      </c>
    </row>
    <row r="7" customFormat="false" ht="15" hidden="false" customHeight="false" outlineLevel="0" collapsed="false">
      <c r="A7" s="67" t="s">
        <v>431</v>
      </c>
      <c r="B7" s="86" t="n">
        <f aca="false">B6*('Thermal Hydraulics &amp; MLC'!$B$8/1000)</f>
        <v>16.528</v>
      </c>
      <c r="C7" s="86" t="n">
        <f aca="false">C6*('Thermal Hydraulics &amp; MLC'!$B$8/1000)</f>
        <v>33.056</v>
      </c>
      <c r="D7" s="86" t="n">
        <f aca="false">D6*('Thermal Hydraulics &amp; MLC'!$B$8/1000)</f>
        <v>66.112</v>
      </c>
      <c r="E7" s="86" t="n">
        <f aca="false">E6*('Thermal Hydraulics &amp; MLC'!$B$8/1000)</f>
        <v>99.168</v>
      </c>
      <c r="F7" s="86" t="n">
        <f aca="false">F6*('Thermal Hydraulics &amp; MLC'!$B$8/1000)</f>
        <v>132.224</v>
      </c>
    </row>
    <row r="8" customFormat="false" ht="15" hidden="false" customHeight="false" outlineLevel="0" collapsed="false">
      <c r="A8" s="67" t="s">
        <v>432</v>
      </c>
      <c r="B8" s="62" t="n">
        <f aca="false">B6*'Unit Economics &amp; KPIs'!$B$5</f>
        <v>4608</v>
      </c>
      <c r="C8" s="62" t="n">
        <f aca="false">C6*'Unit Economics &amp; KPIs'!$B$5</f>
        <v>9216</v>
      </c>
      <c r="D8" s="62" t="n">
        <f aca="false">D6*'Unit Economics &amp; KPIs'!$B$5</f>
        <v>18432</v>
      </c>
      <c r="E8" s="62" t="n">
        <f aca="false">E6*'Unit Economics &amp; KPIs'!$B$5</f>
        <v>27648</v>
      </c>
      <c r="F8" s="62" t="n">
        <f aca="false">F6*'Unit Economics &amp; KPIs'!$B$5</f>
        <v>36864</v>
      </c>
    </row>
    <row r="9" customFormat="false" ht="15" hidden="false" customHeight="false" outlineLevel="0" collapsed="false">
      <c r="A9" s="67" t="s">
        <v>433</v>
      </c>
      <c r="B9" s="86" t="n">
        <f aca="false">B5*'Control Panel &amp; Inputs'!$C$61</f>
        <v>1.8</v>
      </c>
      <c r="C9" s="86" t="n">
        <f aca="false">B6+C5*'Control Panel &amp; Inputs'!$C$61</f>
        <v>3.8</v>
      </c>
      <c r="D9" s="86" t="n">
        <f aca="false">C6+D5*'Control Panel &amp; Inputs'!$C$61</f>
        <v>7.6</v>
      </c>
      <c r="E9" s="86" t="n">
        <f aca="false">D6+E5*'Control Panel &amp; Inputs'!$C$61</f>
        <v>11.6</v>
      </c>
      <c r="F9" s="86" t="n">
        <f aca="false">E6+F5*'Control Panel &amp; Inputs'!$C$61</f>
        <v>15.6</v>
      </c>
    </row>
    <row r="10" customFormat="false" ht="15" hidden="false" customHeight="false" outlineLevel="0" collapsed="false">
      <c r="A10" s="67" t="s">
        <v>434</v>
      </c>
      <c r="B10" s="60" t="n">
        <f aca="false">B9*'Pro Forma Financials'!D$8</f>
        <v>154051654.190008</v>
      </c>
      <c r="C10" s="60" t="n">
        <f aca="false">C9*'Pro Forma Financials'!D$8</f>
        <v>325220158.845573</v>
      </c>
      <c r="D10" s="60" t="n">
        <f aca="false">D9*'Pro Forma Financials'!D$8</f>
        <v>650440317.691146</v>
      </c>
      <c r="E10" s="60" t="n">
        <f aca="false">E9*'Pro Forma Financials'!D$8</f>
        <v>992777327.002276</v>
      </c>
      <c r="F10" s="60" t="n">
        <f aca="false">F9*'Pro Forma Financials'!D$8</f>
        <v>1335114336.31341</v>
      </c>
    </row>
    <row r="11" customFormat="false" ht="15" hidden="false" customHeight="false" outlineLevel="0" collapsed="false">
      <c r="A11" s="67" t="s">
        <v>435</v>
      </c>
      <c r="B11" s="60" t="n">
        <f aca="false">B9*'Pro Forma Financials'!D$14</f>
        <v>126604380.484936</v>
      </c>
      <c r="C11" s="60" t="n">
        <f aca="false">C9*'Pro Forma Financials'!D$14</f>
        <v>267275914.357087</v>
      </c>
      <c r="D11" s="60" t="n">
        <f aca="false">D9*'Pro Forma Financials'!D$14</f>
        <v>534551828.714174</v>
      </c>
      <c r="E11" s="60" t="n">
        <f aca="false">E9*'Pro Forma Financials'!D$14</f>
        <v>815894896.458476</v>
      </c>
      <c r="F11" s="60" t="n">
        <f aca="false">F9*'Pro Forma Financials'!D$14</f>
        <v>1097237964.20278</v>
      </c>
    </row>
    <row r="12" customFormat="false" ht="15" hidden="false" customHeight="false" outlineLevel="0" collapsed="false">
      <c r="A12" s="67" t="s">
        <v>436</v>
      </c>
      <c r="B12" s="60" t="n">
        <f aca="false">B5*'Control Panel &amp; Inputs'!$C$44</f>
        <v>670234400</v>
      </c>
      <c r="C12" s="60" t="n">
        <f aca="false">C5*'Control Panel &amp; Inputs'!$C$44</f>
        <v>670234400</v>
      </c>
      <c r="D12" s="60" t="n">
        <f aca="false">D5*'Control Panel &amp; Inputs'!$C$44</f>
        <v>1340468800</v>
      </c>
      <c r="E12" s="60" t="n">
        <f aca="false">E5*'Control Panel &amp; Inputs'!$C$44</f>
        <v>1340468800</v>
      </c>
      <c r="F12" s="60" t="n">
        <f aca="false">F5*'Control Panel &amp; Inputs'!$C$44</f>
        <v>1340468800</v>
      </c>
    </row>
    <row r="13" customFormat="false" ht="15" hidden="false" customHeight="false" outlineLevel="0" collapsed="false">
      <c r="A13" s="67" t="s">
        <v>437</v>
      </c>
      <c r="B13" s="60" t="n">
        <f aca="false">B11-B12</f>
        <v>-543630019.515064</v>
      </c>
      <c r="C13" s="60" t="n">
        <f aca="false">C11-C12</f>
        <v>-402958485.642913</v>
      </c>
      <c r="D13" s="60" t="n">
        <f aca="false">D11-D12</f>
        <v>-805916971.285826</v>
      </c>
      <c r="E13" s="60" t="n">
        <f aca="false">E11-E12</f>
        <v>-524573903.541524</v>
      </c>
      <c r="F13" s="60" t="n">
        <f aca="false">F11-F12</f>
        <v>-243230835.797222</v>
      </c>
    </row>
    <row r="14" customFormat="false" ht="15" hidden="false" customHeight="false" outlineLevel="0" collapsed="false">
      <c r="A14" s="67" t="s">
        <v>438</v>
      </c>
      <c r="B14" s="60" t="n">
        <f aca="false">B13</f>
        <v>-543630019.515064</v>
      </c>
      <c r="C14" s="60" t="n">
        <f aca="false">B14+C13</f>
        <v>-946588505.157977</v>
      </c>
      <c r="D14" s="60" t="n">
        <f aca="false">C14+D13</f>
        <v>-1752505476.4438</v>
      </c>
      <c r="E14" s="60" t="n">
        <f aca="false">D14+E13</f>
        <v>-2277079379.98533</v>
      </c>
      <c r="F14" s="60" t="n">
        <f aca="false">E14+F13</f>
        <v>-2520310215.78255</v>
      </c>
    </row>
    <row r="16" customFormat="false" ht="15" hidden="false" customHeight="false" outlineLevel="0" collapsed="false">
      <c r="A16" s="66" t="s">
        <v>439</v>
      </c>
    </row>
    <row r="17" customFormat="false" ht="15" hidden="false" customHeight="false" outlineLevel="0" collapsed="false">
      <c r="A17" s="67" t="s">
        <v>55</v>
      </c>
      <c r="B17" s="69" t="n">
        <f aca="false">MIN(B14:F14)</f>
        <v>-2520310215.78255</v>
      </c>
    </row>
    <row r="18" customFormat="false" ht="15" hidden="false" customHeight="false" outlineLevel="0" collapsed="false">
      <c r="A18" s="67" t="s">
        <v>440</v>
      </c>
      <c r="B18" s="87" t="str">
        <f aca="false">IF(COUNTIF(B14:F14,"&lt;0")=5,"&gt;5",COUNTIF(B14:F14,"&lt;0")+1)</f>
        <v>&gt;5</v>
      </c>
    </row>
    <row r="19" customFormat="false" ht="15" hidden="false" customHeight="false" outlineLevel="0" collapsed="false">
      <c r="A19" s="67" t="s">
        <v>441</v>
      </c>
      <c r="B19" s="88" t="n">
        <f aca="false">F7</f>
        <v>132.224</v>
      </c>
    </row>
    <row r="20" customFormat="false" ht="15" hidden="false" customHeight="false" outlineLevel="0" collapsed="false">
      <c r="A20" s="67" t="s">
        <v>53</v>
      </c>
      <c r="B20" s="87" t="n">
        <f aca="false">F8</f>
        <v>36864</v>
      </c>
    </row>
    <row r="21" customFormat="false" ht="15" hidden="false" customHeight="false" outlineLevel="0" collapsed="false">
      <c r="A21" s="67" t="s">
        <v>442</v>
      </c>
      <c r="B21" s="69" t="n">
        <f aca="false">F6*'Pro Forma Financials'!D$14</f>
        <v>1125372270.97721</v>
      </c>
    </row>
    <row r="22" customFormat="false" ht="15" hidden="false" customHeight="false" outlineLevel="0" collapsed="false">
      <c r="A22" s="67" t="s">
        <v>54</v>
      </c>
      <c r="B22" s="69" t="n">
        <f aca="false">SUM(B12:F12)</f>
        <v>5361875200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2026-07-24T13:56:59Z</dcterms:created>
  <dc:creator>openpyxl</dc:creator>
  <dc:description/>
  <dc:language>en-US</dc:language>
  <cp:lastModifiedBy/>
  <dcterms:modified xsi:type="dcterms:W3CDTF">2026-07-24T13:57:02Z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