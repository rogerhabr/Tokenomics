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trol Panel &amp; Inputs" sheetId="2" state="visible" r:id="rId4"/>
    <sheet name="ASHRAE Climate Library" sheetId="3" state="visible" r:id="rId5"/>
    <sheet name="Thermal Hydraulics &amp; MLC" sheetId="4" state="visible" r:id="rId6"/>
    <sheet name="Pro Forma Financials" sheetId="5" state="visible" r:id="rId7"/>
    <sheet name="Unit Economics &amp; KPIs" sheetId="6" state="visible" r:id="rId8"/>
    <sheet name="Sensitivity Engine" sheetId="7" state="visible" r:id="rId9"/>
    <sheet name="Sensitivity Matrices" sheetId="8" state="visible" r:id="rId10"/>
    <sheet name="Phased Expans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<sst xmlns="http://schemas.openxmlformats.org/spreadsheetml/2006/main" count="588" uniqueCount="410">
  <si>
    <t xml:space="preserve">AI Factory Dashboard — 32x Vera Rubin NVL72, Abu Dhabi, UAE</t>
  </si>
  <si>
    <t xml:space="preserve">Headline KPIs, all live-linked; edit assumptions on 'Control Panel &amp; Inputs'</t>
  </si>
  <si>
    <t xml:space="preserve">KPI</t>
  </si>
  <si>
    <t xml:space="preserve">Value</t>
  </si>
  <si>
    <t xml:space="preserve">Unit</t>
  </si>
  <si>
    <t xml:space="preserve">Source Sheet</t>
  </si>
  <si>
    <t xml:space="preserve">Equity IRR (levered)</t>
  </si>
  <si>
    <t xml:space="preserve">%</t>
  </si>
  <si>
    <t xml:space="preserve">Pro Forma Financials</t>
  </si>
  <si>
    <t xml:space="preserve">Project IRR (unlevered)</t>
  </si>
  <si>
    <t xml:space="preserve">Equity NPV @ hurdle rate</t>
  </si>
  <si>
    <t xml:space="preserve">USD</t>
  </si>
  <si>
    <t xml:space="preserve">MOIC</t>
  </si>
  <si>
    <t xml:space="preserve">x</t>
  </si>
  <si>
    <t xml:space="preserve">Payback Period</t>
  </si>
  <si>
    <t xml:space="preserve">years</t>
  </si>
  <si>
    <t xml:space="preserve">Year 1 Gross Revenue</t>
  </si>
  <si>
    <t xml:space="preserve">Year 1 EBITDA</t>
  </si>
  <si>
    <t xml:space="preserve">Year 1 EBITDA Margin</t>
  </si>
  <si>
    <t xml:space="preserve">Minimum DSCR</t>
  </si>
  <si>
    <t xml:space="preserve">Peak MLC vs ASHRAE 90.4</t>
  </si>
  <si>
    <t xml:space="preserve">(limit 0.260)</t>
  </si>
  <si>
    <t xml:space="preserve">Thermal Hydraulics &amp; MLC</t>
  </si>
  <si>
    <t xml:space="preserve">MLC Compliance Margin</t>
  </si>
  <si>
    <t xml:space="preserve">Annual Facility Energy</t>
  </si>
  <si>
    <t xml:space="preserve">MWh/yr</t>
  </si>
  <si>
    <t xml:space="preserve">Annual Carbon Emissions</t>
  </si>
  <si>
    <t xml:space="preserve">tCO2/yr</t>
  </si>
  <si>
    <t xml:space="preserve">Annual Water Consumption</t>
  </si>
  <si>
    <t xml:space="preserve">m³/yr</t>
  </si>
  <si>
    <t xml:space="preserve">Total GPU Count</t>
  </si>
  <si>
    <t xml:space="preserve">GPUs</t>
  </si>
  <si>
    <t xml:space="preserve">Unit Economics &amp; KPIs</t>
  </si>
  <si>
    <t xml:space="preserve">CapEx per GPU</t>
  </si>
  <si>
    <t xml:space="preserve">$/GPU</t>
  </si>
  <si>
    <t xml:space="preserve">Blended Revenue per Sold GPU-hour</t>
  </si>
  <si>
    <t xml:space="preserve">$/GPU-hr</t>
  </si>
  <si>
    <t xml:space="preserve">Cash Cost per M Tokens</t>
  </si>
  <si>
    <t xml:space="preserve">$/M tok</t>
  </si>
  <si>
    <t xml:space="preserve">Energy Cost as % of Revenue</t>
  </si>
  <si>
    <t xml:space="preserve">Breakeven Power Tariff</t>
  </si>
  <si>
    <t xml:space="preserve">$/kWh</t>
  </si>
  <si>
    <t xml:space="preserve">Location / ASHRAE 169 Zone</t>
  </si>
  <si>
    <t xml:space="preserve">Control Panel &amp; Inputs</t>
  </si>
  <si>
    <t xml:space="preserve">ASHRAE 90.4 MLC Limit (location)</t>
  </si>
  <si>
    <t xml:space="preserve">(design max)</t>
  </si>
  <si>
    <t xml:space="preserve">NVIDIA Vera Rubin NVL72 AI Factory — Abu Dhabi, UAE</t>
  </si>
  <si>
    <t xml:space="preserve">Master Control Panel — edit only the yellow Value cells; every other sheet recalculates from them</t>
  </si>
  <si>
    <t xml:space="preserve">Category</t>
  </si>
  <si>
    <t xml:space="preserve">Parameter</t>
  </si>
  <si>
    <t xml:space="preserve">Notes / Constraints</t>
  </si>
  <si>
    <t xml:space="preserve">Geographic &amp; Climate</t>
  </si>
  <si>
    <t xml:space="preserve">Geo_Location</t>
  </si>
  <si>
    <t xml:space="preserve">Abu Dhabi, UAE</t>
  </si>
  <si>
    <t xml:space="preserve">Menu choice — drives ASHRAE zone, 90.4 MLC limit and N=20yr peaks</t>
  </si>
  <si>
    <t xml:space="preserve">ASHRAE_Climate_Zone</t>
  </si>
  <si>
    <t xml:space="preserve">Derived from location — ASHRAE 169 climate zone</t>
  </si>
  <si>
    <t xml:space="preserve">ASHRAE_MLC_Limit</t>
  </si>
  <si>
    <t xml:space="preserve">Derived from location — ASHRAE 90.4 max design MLC</t>
  </si>
  <si>
    <t xml:space="preserve">Peak_Ambient_DryBulb</t>
  </si>
  <si>
    <t xml:space="preserve">°C</t>
  </si>
  <si>
    <t xml:space="preserve">Derived from location — ASHRAE N=20yr extreme peak dry-bulb</t>
  </si>
  <si>
    <t xml:space="preserve">Coincident_WetBulb</t>
  </si>
  <si>
    <t xml:space="preserve">Derived from location — ASHRAE N=20yr peak wet-bulb</t>
  </si>
  <si>
    <t xml:space="preserve">Grid_Carbon_Intensity</t>
  </si>
  <si>
    <t xml:space="preserve">kgCO2/kWh</t>
  </si>
  <si>
    <t xml:space="preserve">Assumption: Abu Dhabi grid avg (Barakah nuclear + gas + solar mix)</t>
  </si>
  <si>
    <t xml:space="preserve">Water_Usage_Effectiveness</t>
  </si>
  <si>
    <t xml:space="preserve">L/kWh</t>
  </si>
  <si>
    <t xml:space="preserve">Assumption: closed-loop dry coolers, minimal adiabatic assist</t>
  </si>
  <si>
    <t xml:space="preserve">Technical Specs</t>
  </si>
  <si>
    <t xml:space="preserve">VR_Rack_Count</t>
  </si>
  <si>
    <t xml:space="preserve">racks</t>
  </si>
  <si>
    <t xml:space="preserve">Vera Rubin NVL72 compute racks</t>
  </si>
  <si>
    <t xml:space="preserve">VR_Rack_Power_kW</t>
  </si>
  <si>
    <t xml:space="preserve">kW/rack</t>
  </si>
  <si>
    <t xml:space="preserve">Compute &amp; scale-up busbar load per VR rack</t>
  </si>
  <si>
    <t xml:space="preserve">VR_Cooling_Type</t>
  </si>
  <si>
    <t xml:space="preserve">Liquid</t>
  </si>
  <si>
    <t xml:space="preserve">Liquid/Air</t>
  </si>
  <si>
    <t xml:space="preserve">S45 direct-to-chip liquid loop</t>
  </si>
  <si>
    <t xml:space="preserve">Network_Rack_Count</t>
  </si>
  <si>
    <t xml:space="preserve">Scale-out network fabric racks</t>
  </si>
  <si>
    <t xml:space="preserve">Network_Rack_Power_kW</t>
  </si>
  <si>
    <t xml:space="preserve">Switching + optics load per network rack</t>
  </si>
  <si>
    <t xml:space="preserve">Network_Cooling_Type</t>
  </si>
  <si>
    <t xml:space="preserve">Air</t>
  </si>
  <si>
    <t xml:space="preserve">Hot-aisle containment air cooling</t>
  </si>
  <si>
    <t xml:space="preserve">Storage_Rack_Count</t>
  </si>
  <si>
    <t xml:space="preserve">NVMe object/block storage racks</t>
  </si>
  <si>
    <t xml:space="preserve">Storage_Rack_Power_kW</t>
  </si>
  <si>
    <t xml:space="preserve">Load per storage rack</t>
  </si>
  <si>
    <t xml:space="preserve">Storage_Cooling_Type</t>
  </si>
  <si>
    <t xml:space="preserve">GPUs_Per_Rack</t>
  </si>
  <si>
    <t xml:space="preserve">NVL72 = 72 Rubin GPUs per VR compute rack</t>
  </si>
  <si>
    <t xml:space="preserve">Liquid_Cooling_Overhead</t>
  </si>
  <si>
    <t xml:space="preserve">kW/kW</t>
  </si>
  <si>
    <t xml:space="preserve">Cooling power per kW of liquid-cooled IT (CDU pumps, dry-cooler fans)</t>
  </si>
  <si>
    <t xml:space="preserve">Air_Cooling_Overhead</t>
  </si>
  <si>
    <t xml:space="preserve">Cooling power per kW of air-cooled IT (high-ambient chillers, CRAHs)</t>
  </si>
  <si>
    <t xml:space="preserve">Liquid_Supply_Temp_FWS</t>
  </si>
  <si>
    <t xml:space="preserve">S45 direct-to-chip loop</t>
  </si>
  <si>
    <t xml:space="preserve">Liquid_Return_Temp_FWR</t>
  </si>
  <si>
    <t xml:space="preserve">Facility water return — sets the loop delta-T</t>
  </si>
  <si>
    <t xml:space="preserve">Coolant_Specific_Heat</t>
  </si>
  <si>
    <t xml:space="preserve">kJ/kg·K</t>
  </si>
  <si>
    <t xml:space="preserve">Assumption: PG25 water/glycol at ~50°C</t>
  </si>
  <si>
    <t xml:space="preserve">Coolant_Density</t>
  </si>
  <si>
    <t xml:space="preserve">kg/L</t>
  </si>
  <si>
    <t xml:space="preserve">Assumption: PG25 mixture density</t>
  </si>
  <si>
    <t xml:space="preserve">Target_Annualized_PUE</t>
  </si>
  <si>
    <t xml:space="preserve">Drives facility energy = IT energy x PUE</t>
  </si>
  <si>
    <t xml:space="preserve">Cluster_Utilization</t>
  </si>
  <si>
    <t xml:space="preserve">Assumption: avg power/capacity utilization of the fleet</t>
  </si>
  <si>
    <t xml:space="preserve">Uptime_Availability</t>
  </si>
  <si>
    <t xml:space="preserve">Assumption: contractual availability SLA</t>
  </si>
  <si>
    <t xml:space="preserve">Tokens_Per_GPU_Sec</t>
  </si>
  <si>
    <t xml:space="preserve">tok/s/GPU</t>
  </si>
  <si>
    <t xml:space="preserve">Assumption: blended inference throughput per Rubin GPU</t>
  </si>
  <si>
    <t xml:space="preserve">Token_Fleet_Share</t>
  </si>
  <si>
    <t xml:space="preserve">Share of fleet serving the API token market</t>
  </si>
  <si>
    <t xml:space="preserve">Financial &amp; Fiscal</t>
  </si>
  <si>
    <t xml:space="preserve">Electricity_Tariff</t>
  </si>
  <si>
    <t xml:space="preserve">Abu Dhabi industrial rate (Year 1)</t>
  </si>
  <si>
    <t xml:space="preserve">Tariff_Escalation</t>
  </si>
  <si>
    <t xml:space="preserve">%/yr</t>
  </si>
  <si>
    <t xml:space="preserve">Assumption: annual power price escalation</t>
  </si>
  <si>
    <t xml:space="preserve">CapEx_Initial</t>
  </si>
  <si>
    <t xml:space="preserve">All-in benchmark midpoint: ~$91M facility (at $9.9-12.2M/MW) + 32 VR racks at ~$7.4M each (reported $6.0-8.8M). Set to ~$91M if IT is leased/vendor-financed.</t>
  </si>
  <si>
    <t xml:space="preserve">Residual_Value_Pct</t>
  </si>
  <si>
    <t xml:space="preserve">Assumption: pre-tax residual recovery of CapEx at end of Year 5</t>
  </si>
  <si>
    <t xml:space="preserve">Debt_Ratio</t>
  </si>
  <si>
    <t xml:space="preserve">User adjustable (50% - 80%)</t>
  </si>
  <si>
    <t xml:space="preserve">Interest_Rate</t>
  </si>
  <si>
    <t xml:space="preserve">Senior debt facility rate</t>
  </si>
  <si>
    <t xml:space="preserve">Debt_Tenor</t>
  </si>
  <si>
    <t xml:space="preserve">Years</t>
  </si>
  <si>
    <t xml:space="preserve">Annual amortization schedule</t>
  </si>
  <si>
    <t xml:space="preserve">Model_Horizon_Years</t>
  </si>
  <si>
    <t xml:space="preserve">Pro forma &amp; sensitivity horizon — STRUCTURAL: regenerate the workbook to change (year columns are created at build time)</t>
  </si>
  <si>
    <t xml:space="preserve">Depreciation_Life_Years</t>
  </si>
  <si>
    <t xml:space="preserve">Straight-line depreciation life for the CapEx</t>
  </si>
  <si>
    <t xml:space="preserve">UAE_Corporate_Tax</t>
  </si>
  <si>
    <t xml:space="preserve">Statutory corporate tax rate</t>
  </si>
  <si>
    <t xml:space="preserve">GIDLR_EBITDA_Cap</t>
  </si>
  <si>
    <t xml:space="preserve">UAE interest deduction limit — applied via MIN() in the tax calc</t>
  </si>
  <si>
    <t xml:space="preserve">Equity_Discount_Rate</t>
  </si>
  <si>
    <t xml:space="preserve">Assumption: hurdle rate for equity NPV</t>
  </si>
  <si>
    <t xml:space="preserve">Fixed_OpEx_Annual</t>
  </si>
  <si>
    <t xml:space="preserve">USD/yr</t>
  </si>
  <si>
    <t xml:space="preserve">Staff, maintenance, insurance, connectivity (Year 1)</t>
  </si>
  <si>
    <t xml:space="preserve">OpEx_Escalation</t>
  </si>
  <si>
    <t xml:space="preserve">Assumption: annual fixed-OpEx inflation</t>
  </si>
  <si>
    <t xml:space="preserve">Revenue Strategy</t>
  </si>
  <si>
    <t xml:space="preserve">Lease_Revenue_70pct</t>
  </si>
  <si>
    <t xml:space="preserve">70% bare-metal capacity leases (Year 1, pre-ramp)</t>
  </si>
  <si>
    <t xml:space="preserve">Token_Revenue_30pct</t>
  </si>
  <si>
    <t xml:space="preserve">30% dynamic API token market (Year 1, pre-ramp)</t>
  </si>
  <si>
    <t xml:space="preserve">Year1_Ramp_Factor</t>
  </si>
  <si>
    <t xml:space="preserve">Assumption: Year 1 commissioning / fill-up ramp</t>
  </si>
  <si>
    <t xml:space="preserve">Lease_Price_Escalation</t>
  </si>
  <si>
    <t xml:space="preserve">Assumption: lease repricing per year</t>
  </si>
  <si>
    <t xml:space="preserve">Token_Price_Decline</t>
  </si>
  <si>
    <t xml:space="preserve">Core tokenomics: $/token deflation per year</t>
  </si>
  <si>
    <t xml:space="preserve">Token_Volume_Growth</t>
  </si>
  <si>
    <t xml:space="preserve">Token demand growth (partially offsets price decline)</t>
  </si>
  <si>
    <t xml:space="preserve">Phased Expansion</t>
  </si>
  <si>
    <t xml:space="preserve">Expansion_Blocks_Per_Year</t>
  </si>
  <si>
    <t xml:space="preserve">2,2,4,4,4</t>
  </si>
  <si>
    <t xml:space="preserve">blocks/yr</t>
  </si>
  <si>
    <t xml:space="preserve">Comma-separated blocks added per year (padded/truncated to the horizon); one block = this workbook's full rack architecture. Live numeric cells are on the 'Phased Expansion' sheet.</t>
  </si>
  <si>
    <t xml:space="preserve">Legend: yellow cells with blue text are the editable inputs; all other cells in this workbook are formulas.</t>
  </si>
  <si>
    <t xml:space="preserve">Rows marked 'Assumption' are user-supplied estimates, not sourced market data — revisit before investment use.</t>
  </si>
  <si>
    <t xml:space="preserve">Geo_Location must exactly match a row on the 'ASHRAE Climate Library' sheet; the four 'Derived from location' rows update automatically. Cooling types must be 'Liquid' or 'Air'.</t>
  </si>
  <si>
    <t xml:space="preserve">ASHRAE Climate &amp; 90.4 Compliance Library</t>
  </si>
  <si>
    <t xml:space="preserve">Editable reference data — verify MLC limits against ASHRAE 90.4-2019 Table 6.5.1.1 and temperatures against ASHRAE Fundamentals n=20yr return-period extremes before design use</t>
  </si>
  <si>
    <t xml:space="preserve">Location</t>
  </si>
  <si>
    <t xml:space="preserve">ASHRAE 169 Zone</t>
  </si>
  <si>
    <t xml:space="preserve">ASHRAE 90.4 Max Design MLC</t>
  </si>
  <si>
    <t xml:space="preserve">N=20yr Peak Dry-Bulb (°C)</t>
  </si>
  <si>
    <t xml:space="preserve">N=20yr Peak Wet-Bulb (°C)</t>
  </si>
  <si>
    <t xml:space="preserve">Notes</t>
  </si>
  <si>
    <t xml:space="preserve">1A</t>
  </si>
  <si>
    <t xml:space="preserve">Project baseline; ASHRAE 169-2021 may reclassify as 0B</t>
  </si>
  <si>
    <t xml:space="preserve">Dubai, UAE</t>
  </si>
  <si>
    <t xml:space="preserve">0B</t>
  </si>
  <si>
    <t xml:space="preserve">Riyadh, Saudi Arabia</t>
  </si>
  <si>
    <t xml:space="preserve">Dry extreme heat</t>
  </si>
  <si>
    <t xml:space="preserve">Singapore</t>
  </si>
  <si>
    <t xml:space="preserve">0A</t>
  </si>
  <si>
    <t xml:space="preserve">High wet-bulb year-round</t>
  </si>
  <si>
    <t xml:space="preserve">Mumbai, India</t>
  </si>
  <si>
    <t xml:space="preserve">Phoenix, AZ, USA</t>
  </si>
  <si>
    <t xml:space="preserve">2B</t>
  </si>
  <si>
    <t xml:space="preserve">Dallas, TX, USA</t>
  </si>
  <si>
    <t xml:space="preserve">3A</t>
  </si>
  <si>
    <t xml:space="preserve">Ashburn, VA, USA</t>
  </si>
  <si>
    <t xml:space="preserve">4A</t>
  </si>
  <si>
    <t xml:space="preserve">N. Virginia hub</t>
  </si>
  <si>
    <t xml:space="preserve">Chicago, IL, USA</t>
  </si>
  <si>
    <t xml:space="preserve">5A</t>
  </si>
  <si>
    <t xml:space="preserve">Frankfurt, Germany</t>
  </si>
  <si>
    <t xml:space="preserve">Amsterdam, Netherlands</t>
  </si>
  <si>
    <t xml:space="preserve">Dublin, Ireland</t>
  </si>
  <si>
    <t xml:space="preserve">Free-cooling friendly</t>
  </si>
  <si>
    <t xml:space="preserve">Oslo, Norway</t>
  </si>
  <si>
    <t xml:space="preserve">6A</t>
  </si>
  <si>
    <t xml:space="preserve">Tokyo, Japan</t>
  </si>
  <si>
    <t xml:space="preserve">Sydney, Australia</t>
  </si>
  <si>
    <t xml:space="preserve">Thermal Hydraulics &amp; ASHRAE 90.4 Compliance Engine</t>
  </si>
  <si>
    <t xml:space="preserve">S45 closed-loop fluid dynamics, 3-stage trim cooling, and annual energy / water / carbon footprint</t>
  </si>
  <si>
    <t xml:space="preserve">Metric / Calculation Step</t>
  </si>
  <si>
    <t xml:space="preserve">VR Compute Rack Load</t>
  </si>
  <si>
    <t xml:space="preserve">kW</t>
  </si>
  <si>
    <t xml:space="preserve">VR racks x kW/rack</t>
  </si>
  <si>
    <t xml:space="preserve">Network Rack Load</t>
  </si>
  <si>
    <t xml:space="preserve">Network racks x kW/rack</t>
  </si>
  <si>
    <t xml:space="preserve">Storage Rack Load</t>
  </si>
  <si>
    <t xml:space="preserve">Storage racks x kW/rack</t>
  </si>
  <si>
    <t xml:space="preserve">Total Combined IT Load</t>
  </si>
  <si>
    <t xml:space="preserve">VR compute + network + storage</t>
  </si>
  <si>
    <t xml:space="preserve">Liquid-Cooled IT Load</t>
  </si>
  <si>
    <t xml:space="preserve">Sum of rack classes whose cooling type is 'Liquid'</t>
  </si>
  <si>
    <t xml:space="preserve">Air-Cooled IT Load</t>
  </si>
  <si>
    <t xml:space="preserve">Total IT load minus liquid-cooled load</t>
  </si>
  <si>
    <t xml:space="preserve">Liquid-Cooled Rack Count</t>
  </si>
  <si>
    <t xml:space="preserve">Racks on the S45 loop (cooling type = 'Liquid')</t>
  </si>
  <si>
    <t xml:space="preserve">S45 Loop Supply Temperature</t>
  </si>
  <si>
    <t xml:space="preserve">Facility Water Supply (FWS)</t>
  </si>
  <si>
    <t xml:space="preserve">S45 Loop Return Temperature</t>
  </si>
  <si>
    <t xml:space="preserve">Facility Water Return (FWR)</t>
  </si>
  <si>
    <t xml:space="preserve">S45 Loop Delta T</t>
  </si>
  <si>
    <t xml:space="preserve">Hydraulic temperature split</t>
  </si>
  <si>
    <t xml:space="preserve">S45 Liquid Flow Rate per VR Rack</t>
  </si>
  <si>
    <t xml:space="preserve">LPM</t>
  </si>
  <si>
    <t xml:space="preserve">Physics: Q/(rho*Cp*dT)*60 — flow required to absorb one VR rack</t>
  </si>
  <si>
    <t xml:space="preserve">Total S45 Cluster Flow Rate</t>
  </si>
  <si>
    <t xml:space="preserve">Physics: liquid-cooled load/(rho*Cp*dT)*60</t>
  </si>
  <si>
    <t xml:space="preserve">Peak Ambient Dry-Bulb (N=20yr)</t>
  </si>
  <si>
    <t xml:space="preserve">ASHRAE n=20yr extreme — derived from location</t>
  </si>
  <si>
    <t xml:space="preserve">Peak Wet-Bulb (N=20yr)</t>
  </si>
  <si>
    <t xml:space="preserve">ASHRAE n=20yr — derived from location</t>
  </si>
  <si>
    <t xml:space="preserve">S45 Peak Rejection Approach</t>
  </si>
  <si>
    <t xml:space="preserve">K</t>
  </si>
  <si>
    <t xml:space="preserve">FWR minus peak dry-bulb (positive = dry cooling viable)</t>
  </si>
  <si>
    <t xml:space="preserve">Liquid Loop Cooling Power</t>
  </si>
  <si>
    <t xml:space="preserve">Liquid-cooled load x liquid cooling overhead input</t>
  </si>
  <si>
    <t xml:space="preserve">Air Loop Cooling Power</t>
  </si>
  <si>
    <t xml:space="preserve">Air-cooled load x air cooling overhead input</t>
  </si>
  <si>
    <t xml:space="preserve">Total Cooling Peak Power</t>
  </si>
  <si>
    <t xml:space="preserve">Combined cooling power</t>
  </si>
  <si>
    <t xml:space="preserve">Peak Mechanical Load Component (MLC)</t>
  </si>
  <si>
    <t xml:space="preserve">Cooling power / total IT load</t>
  </si>
  <si>
    <t xml:space="preserve">ASHRAE 90.4 MLC Limit (from location)</t>
  </si>
  <si>
    <t xml:space="preserve">Max design MLC for the selected location's climate zone</t>
  </si>
  <si>
    <t xml:space="preserve">Safety Compliance Margin</t>
  </si>
  <si>
    <t xml:space="preserve">Operational margin under the location's 90.4 limit</t>
  </si>
  <si>
    <t xml:space="preserve">Average Utilized IT Power</t>
  </si>
  <si>
    <t xml:space="preserve">Total IT x utilization x uptime</t>
  </si>
  <si>
    <t xml:space="preserve">Annualized PUE</t>
  </si>
  <si>
    <t xml:space="preserve">Facility energy multiplier on IT energy</t>
  </si>
  <si>
    <t xml:space="preserve">Avg IT power x 8760h x PUE</t>
  </si>
  <si>
    <t xml:space="preserve">Facility kWh x WUE</t>
  </si>
  <si>
    <t xml:space="preserve">Facility kWh x grid intensity</t>
  </si>
  <si>
    <t xml:space="preserve">5-Year Leveraged Financial Model &amp; Debt Amortization</t>
  </si>
  <si>
    <t xml:space="preserve">UAE corporate tax (9%) with GIDLR 30%-of-EBITDA interest cap, revenue ramp &amp; escalations, full debt schedule and equity returns</t>
  </si>
  <si>
    <t xml:space="preserve">Line Item (USD)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</si>
  <si>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</si>
  <si>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</si>
  <si>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</si>
  <si>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</si>
  <si>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</si>
  <si>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</si>
  <si>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Ramp Factor</t>
  </si>
  <si>
    <t xml:space="preserve">Lease Revenue</t>
  </si>
  <si>
    <t xml:space="preserve">Token Revenue</t>
  </si>
  <si>
    <t xml:space="preserve">Gross Annual Revenue</t>
  </si>
  <si>
    <t xml:space="preserve">Effective Power Tariff</t>
  </si>
  <si>
    <t xml:space="preserve">Annual Facility Energy (kWh)</t>
  </si>
  <si>
    <t xml:space="preserve">Electricity Cost</t>
  </si>
  <si>
    <t xml:space="preserve">Fixed Non-Power OpEx</t>
  </si>
  <si>
    <t xml:space="preserve">Total Operational Expense (OpEx)</t>
  </si>
  <si>
    <t xml:space="preserve">EBITDA</t>
  </si>
  <si>
    <t xml:space="preserve">EBITDA Margin</t>
  </si>
  <si>
    <t xml:space="preserve">CapEx Initial Outlay</t>
  </si>
  <si>
    <t xml:space="preserve">Debt Financed Amount</t>
  </si>
  <si>
    <t xml:space="preserve">Equity Outlay</t>
  </si>
  <si>
    <t xml:space="preserve">Beginning Debt Balance</t>
  </si>
  <si>
    <t xml:space="preserve">Annual Debt Service (P+I)</t>
  </si>
  <si>
    <t xml:space="preserve">Interest Expense</t>
  </si>
  <si>
    <t xml:space="preserve">Debt Principal Payment</t>
  </si>
  <si>
    <t xml:space="preserve">Ending Debt Balance</t>
  </si>
  <si>
    <t xml:space="preserve">Depreciation (Straight Line)</t>
  </si>
  <si>
    <t xml:space="preserve">GIDLR Deductible Interest</t>
  </si>
  <si>
    <t xml:space="preserve">Taxable Income</t>
  </si>
  <si>
    <t xml:space="preserve">UAE Corporate Tax</t>
  </si>
  <si>
    <t xml:space="preserve">Residual Value Recovery</t>
  </si>
  <si>
    <t xml:space="preserve">Leveraged Free Cash Flow (FCFE)</t>
  </si>
  <si>
    <t xml:space="preserve">Cumulative FCFE</t>
  </si>
  <si>
    <t xml:space="preserve">Debt Service Coverage Ratio (DSCR)</t>
  </si>
  <si>
    <t xml:space="preserve">Unlevered Tax (no interest shield)</t>
  </si>
  <si>
    <t xml:space="preserve">Unlevered Free Cash Flow (FCFF)</t>
  </si>
  <si>
    <t xml:space="preserve">Equity Returns Summary</t>
  </si>
  <si>
    <t xml:space="preserve">MOIC (total distributions / equity)</t>
  </si>
  <si>
    <t xml:space="preserve">Average DSCR</t>
  </si>
  <si>
    <t xml:space="preserve">Unit Economics &amp; Operational KPIs</t>
  </si>
  <si>
    <t xml:space="preserve">GPU-hour and token-level economics (steady-state Year 2, post-ramp) — all cells formula-driven</t>
  </si>
  <si>
    <t xml:space="preserve">Derivation</t>
  </si>
  <si>
    <t xml:space="preserve">Racks x GPUs per rack</t>
  </si>
  <si>
    <t xml:space="preserve">Available GPU-hours / yr</t>
  </si>
  <si>
    <t xml:space="preserve">GPU-hrs</t>
  </si>
  <si>
    <t xml:space="preserve">GPUs x 8760h x uptime</t>
  </si>
  <si>
    <t xml:space="preserve">Sold GPU-hours / yr</t>
  </si>
  <si>
    <t xml:space="preserve">Available x utilization</t>
  </si>
  <si>
    <t xml:space="preserve">Year 2 gross revenue / sold GPU-hours</t>
  </si>
  <si>
    <t xml:space="preserve">Cash OpEx per Sold GPU-hour</t>
  </si>
  <si>
    <t xml:space="preserve">Year 2 total OpEx / sold GPU-hours</t>
  </si>
  <si>
    <t xml:space="preserve">EBITDA per Sold GPU-hour</t>
  </si>
  <si>
    <t xml:space="preserve">Revenue minus cash OpEx per GPU-hour</t>
  </si>
  <si>
    <t xml:space="preserve">Total CapEx / GPU count</t>
  </si>
  <si>
    <t xml:space="preserve">CapEx per MW of IT Load</t>
  </si>
  <si>
    <t xml:space="preserve">$/MW</t>
  </si>
  <si>
    <t xml:space="preserve">Total CapEx / total IT MW</t>
  </si>
  <si>
    <t xml:space="preserve">Revenue per MW of IT Load</t>
  </si>
  <si>
    <t xml:space="preserve">$/MW/yr</t>
  </si>
  <si>
    <t xml:space="preserve">Year 2 revenue / total IT MW</t>
  </si>
  <si>
    <t xml:space="preserve">Annual Token Capacity (token fleet)</t>
  </si>
  <si>
    <t xml:space="preserve">T tokens/yr</t>
  </si>
  <si>
    <t xml:space="preserve">Token-fleet GPUs x tok/s x seconds x utilization x uptime</t>
  </si>
  <si>
    <t xml:space="preserve">Implied Realized Price per M Tokens</t>
  </si>
  <si>
    <t xml:space="preserve">Year 2 token revenue / token capacity</t>
  </si>
  <si>
    <t xml:space="preserve">Token-fleet share of Year 2 OpEx / token capacity</t>
  </si>
  <si>
    <t xml:space="preserve">Year 2 electricity / Year 2 revenue</t>
  </si>
  <si>
    <t xml:space="preserve">Breakeven Power Tariff (EBITDA = 0)</t>
  </si>
  <si>
    <t xml:space="preserve">(Year 2 revenue - fixed OpEx) / annual kWh</t>
  </si>
  <si>
    <t xml:space="preserve">Min Revenue for 1.00x DSCR</t>
  </si>
  <si>
    <t xml:space="preserve">Debt service + Year 2 OpEx</t>
  </si>
  <si>
    <t xml:space="preserve">Revenue Headroom above 1.00x DSCR</t>
  </si>
  <si>
    <t xml:space="preserve">1 - min revenue / Year 2 revenue</t>
  </si>
  <si>
    <t xml:space="preserve">Sensitivity Engine — 16 Live Scenarios over 5 Years</t>
  </si>
  <si>
    <t xml:space="preserve">Each row re-runs the full leveraged model (debt schedule, GIDLR tax cap, residual value) for one tariff x debt-ratio combination</t>
  </si>
  <si>
    <t xml:space="preserve">Scenario</t>
  </si>
  <si>
    <t xml:space="preserve">Tariff $/kWh</t>
  </si>
  <si>
    <t xml:space="preserve">Debt %</t>
  </si>
  <si>
    <t xml:space="preserve">Debt $</t>
  </si>
  <si>
    <t xml:space="preserve">Equity $</t>
  </si>
  <si>
    <t xml:space="preserve">Debt Service</t>
  </si>
  <si>
    <t xml:space="preserve">Y0 FCFE</t>
  </si>
  <si>
    <t xml:space="preserve">Y1 FCFE</t>
  </si>
  <si>
    <t xml:space="preserve">Y2 FCFE</t>
  </si>
  <si>
    <t xml:space="preserve">Y3 FCFE</t>
  </si>
  <si>
    <t xml:space="preserve">Y4 FCFE</t>
  </si>
  <si>
    <t xml:space="preserve">Y5 FCFE</t>
  </si>
  <si>
    <t xml:space="preserve">Equity IRR</t>
  </si>
  <si>
    <t xml:space="preserve">Avg DSCR</t>
  </si>
  <si>
    <t xml:space="preserve">$0.04/kWh @ 50% debt</t>
  </si>
  <si>
    <t xml:space="preserve">$0.04/kWh @ 60% debt</t>
  </si>
  <si>
    <t xml:space="preserve">$0.04/kWh @ 70% debt</t>
  </si>
  <si>
    <t xml:space="preserve">$0.04/kWh @ 80% debt</t>
  </si>
  <si>
    <t xml:space="preserve">$0.06/kWh @ 50% debt</t>
  </si>
  <si>
    <t xml:space="preserve">$0.06/kWh @ 60% debt</t>
  </si>
  <si>
    <t xml:space="preserve">$0.06/kWh @ 70% debt</t>
  </si>
  <si>
    <t xml:space="preserve">$0.06/kWh @ 80% debt</t>
  </si>
  <si>
    <t xml:space="preserve">$0.08/kWh @ 50% debt</t>
  </si>
  <si>
    <t xml:space="preserve">$0.08/kWh @ 60% debt</t>
  </si>
  <si>
    <t xml:space="preserve">$0.08/kWh @ 70% debt</t>
  </si>
  <si>
    <t xml:space="preserve">$0.08/kWh @ 80% debt</t>
  </si>
  <si>
    <t xml:space="preserve">$0.10/kWh @ 50% debt</t>
  </si>
  <si>
    <t xml:space="preserve">$0.10/kWh @ 60% debt</t>
  </si>
  <si>
    <t xml:space="preserve">$0.10/kWh @ 70% debt</t>
  </si>
  <si>
    <t xml:space="preserve">$0.10/kWh @ 80% debt</t>
  </si>
  <si>
    <t xml:space="preserve">Scenario EBITDA Grid (Year 1-5)</t>
  </si>
  <si>
    <t xml:space="preserve">Y1 EBITDA</t>
  </si>
  <si>
    <t xml:space="preserve">Y2 EBITDA</t>
  </si>
  <si>
    <t xml:space="preserve">Y3 EBITDA</t>
  </si>
  <si>
    <t xml:space="preserve">Y4 EBITDA</t>
  </si>
  <si>
    <t xml:space="preserve">Y5 EBITDA</t>
  </si>
  <si>
    <t xml:space="preserve">5-Year Leveraged Sensitivity Matrices</t>
  </si>
  <si>
    <t xml:space="preserve">Power tariff ($0.04 - $0.10/kWh) vs. debt ratio (50% - 80%) — every cell is a live link to the Sensitivity Engine</t>
  </si>
  <si>
    <t xml:space="preserve">Matrix 1: Leveraged 5-Year Equity IRR (%)</t>
  </si>
  <si>
    <t xml:space="preserve">Power Tariff ($/kWh)</t>
  </si>
  <si>
    <t xml:space="preserve">50% Debt</t>
  </si>
  <si>
    <t xml:space="preserve">60% Debt</t>
  </si>
  <si>
    <t xml:space="preserve">70% Debt</t>
  </si>
  <si>
    <t xml:space="preserve">80% Debt</t>
  </si>
  <si>
    <t xml:space="preserve">$0.04 / kWh</t>
  </si>
  <si>
    <t xml:space="preserve">$0.06 / kWh</t>
  </si>
  <si>
    <t xml:space="preserve">$0.08 / kWh</t>
  </si>
  <si>
    <t xml:space="preserve">$0.10 / kWh</t>
  </si>
  <si>
    <t xml:space="preserve">Matrix 2: Average Debt Service Coverage Ratio (DSCR)</t>
  </si>
  <si>
    <t xml:space="preserve">Phased Campus Expansion — Identical Blocks</t>
  </si>
  <si>
    <t xml:space="preserve">Each block replicates this workbook's rack architecture; block economics use the single-block Year-2 (steady-state) pro forma. Simplification: per-vintage token-price dynamics and per-block financing are not modeled here.</t>
  </si>
  <si>
    <t xml:space="preserve">Metric</t>
  </si>
  <si>
    <t xml:space="preserve">Blocks Added (input)</t>
  </si>
  <si>
    <t xml:space="preserve">Cumulative Blocks</t>
  </si>
  <si>
    <t xml:space="preserve">Campus IT Capacity (MW)</t>
  </si>
  <si>
    <t xml:space="preserve">Campus GPUs</t>
  </si>
  <si>
    <t xml:space="preserve">Effective Revenue Blocks</t>
  </si>
  <si>
    <t xml:space="preserve">Campus Revenue</t>
  </si>
  <si>
    <t xml:space="preserve">Campus EBITDA</t>
  </si>
  <si>
    <t xml:space="preserve">CapEx Deployed</t>
  </si>
  <si>
    <t xml:space="preserve">Campus Net Cash Flow</t>
  </si>
  <si>
    <t xml:space="preserve">Cumulative Funding Position</t>
  </si>
  <si>
    <t xml:space="preserve">Campus KPIs</t>
  </si>
  <si>
    <t xml:space="preserve">Peak Funding Requirement</t>
  </si>
  <si>
    <t xml:space="preserve">Campus Cash-Positive Year</t>
  </si>
  <si>
    <t xml:space="preserve">Final Campus IT Capacity (MW)</t>
  </si>
  <si>
    <t xml:space="preserve">Final Campus GPUs</t>
  </si>
  <si>
    <t xml:space="preserve">Run-Rate Campus EBITDA (full blocks)</t>
  </si>
  <si>
    <t xml:space="preserve">Total Campus CapEx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</si>
</sst>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\$#,##0"/>
    <numFmt numFmtId="167" formatCode="0.00\x"/>
    <numFmt numFmtId="168" formatCode="0.00&quot; yrs&quot;"/>
    <numFmt numFmtId="169" formatCode="0.000"/>
    <numFmt numFmtId="170" formatCode="#,##0"/>
    <numFmt numFmtId="171" formatCode="\$#,##0.00"/>
    <numFmt numFmtId="172" formatCode="\$#,##0.000"/>
    <numFmt numFmtId="173" formatCode="@"/>
    <numFmt numFmtId="174" formatCode="#,##0.0"/>
    <numFmt numFmtId="175" formatCode="0.00"/>
    <numFmt numFmtId="176" formatCode="0.00%"/>
    <numFmt numFmtId="177" formatCode="\$#,##0.0000"/>
    <numFmt numFmtId="17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2"/>
      <color rgb="FF1F4E78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2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'Pro Forma Financials'!B36</f>
        <v>0.00348283951629262</v>
      </c>
      <c r="C5" s="6" t="s">
        <v>7</v>
      </c>
      <c r="D5" s="7" t="s">
        <v>8</v>
      </c>
    </row>
    <row r="6" customFormat="false" ht="15" hidden="false" customHeight="false" outlineLevel="0" collapsed="false">
      <c r="A6" s="4" t="s">
        <v>9</v>
      </c>
      <c r="B6" s="5" t="n">
        <f aca="false">'Pro Forma Financials'!B37</f>
        <v>0.0473981776304923</v>
      </c>
      <c r="C6" s="6" t="s">
        <v>7</v>
      </c>
      <c r="D6" s="7" t="s">
        <v>8</v>
      </c>
    </row>
    <row r="7" customFormat="false" ht="15" hidden="false" customHeight="false" outlineLevel="0" collapsed="false">
      <c r="A7" s="4" t="s">
        <v>10</v>
      </c>
      <c r="B7" s="8" t="n">
        <f aca="false">'Pro Forma Financials'!B38</f>
        <v>-29426161.8959998</v>
      </c>
      <c r="C7" s="6" t="s">
        <v>11</v>
      </c>
      <c r="D7" s="7" t="s">
        <v>8</v>
      </c>
    </row>
    <row r="8" customFormat="false" ht="15" hidden="false" customHeight="false" outlineLevel="0" collapsed="false">
      <c r="A8" s="4" t="s">
        <v>12</v>
      </c>
      <c r="B8" s="9" t="n">
        <f aca="false">'Pro Forma Financials'!B39</f>
        <v>1.01548022177123</v>
      </c>
      <c r="C8" s="6" t="s">
        <v>13</v>
      </c>
      <c r="D8" s="7" t="s">
        <v>8</v>
      </c>
    </row>
    <row r="9" customFormat="false" ht="15" hidden="false" customHeight="false" outlineLevel="0" collapsed="false">
      <c r="A9" s="4" t="s">
        <v>14</v>
      </c>
      <c r="B9" s="10" t="n">
        <f aca="false">'Pro Forma Financials'!B40</f>
        <v>4.97670502082603</v>
      </c>
      <c r="C9" s="6" t="s">
        <v>15</v>
      </c>
      <c r="D9" s="7" t="s">
        <v>8</v>
      </c>
    </row>
    <row r="10" customFormat="false" ht="15" hidden="false" customHeight="false" outlineLevel="0" collapsed="false">
      <c r="A10" s="4" t="s">
        <v>16</v>
      </c>
      <c r="B10" s="11" t="n">
        <f aca="false">'Pro Forma Financials'!C$8</f>
        <v>75600000</v>
      </c>
      <c r="C10" s="6" t="s">
        <v>11</v>
      </c>
      <c r="D10" s="7" t="s">
        <v>8</v>
      </c>
    </row>
    <row r="11" customFormat="false" ht="15" hidden="false" customHeight="false" outlineLevel="0" collapsed="false">
      <c r="A11" s="4" t="s">
        <v>17</v>
      </c>
      <c r="B11" s="11" t="n">
        <f aca="false">'Pro Forma Financials'!C$14</f>
        <v>60755550.321856</v>
      </c>
      <c r="C11" s="6" t="s">
        <v>11</v>
      </c>
      <c r="D11" s="7" t="s">
        <v>8</v>
      </c>
    </row>
    <row r="12" customFormat="false" ht="15" hidden="false" customHeight="false" outlineLevel="0" collapsed="false">
      <c r="A12" s="4" t="s">
        <v>18</v>
      </c>
      <c r="B12" s="12" t="n">
        <f aca="false">'Pro Forma Financials'!C$15</f>
        <v>0.803644845527196</v>
      </c>
      <c r="C12" s="6" t="s">
        <v>7</v>
      </c>
      <c r="D12" s="7" t="s">
        <v>8</v>
      </c>
    </row>
    <row r="13" customFormat="false" ht="15" hidden="false" customHeight="false" outlineLevel="0" collapsed="false">
      <c r="A13" s="4" t="s">
        <v>19</v>
      </c>
      <c r="B13" s="13" t="n">
        <f aca="false">'Pro Forma Financials'!B41</f>
        <v>0.962197375096669</v>
      </c>
      <c r="C13" s="6" t="s">
        <v>13</v>
      </c>
      <c r="D13" s="7" t="s">
        <v>8</v>
      </c>
    </row>
    <row r="14" customFormat="false" ht="15" hidden="false" customHeight="false" outlineLevel="0" collapsed="false">
      <c r="A14" s="4" t="s">
        <v>20</v>
      </c>
      <c r="B14" s="14" t="n">
        <f aca="false">'Thermal Hydraulics &amp; MLC'!$B$23</f>
        <v>0.0778315585672798</v>
      </c>
      <c r="C14" s="6" t="s">
        <v>21</v>
      </c>
      <c r="D14" s="7" t="s">
        <v>22</v>
      </c>
    </row>
    <row r="15" customFormat="false" ht="15" hidden="false" customHeight="false" outlineLevel="0" collapsed="false">
      <c r="A15" s="4" t="s">
        <v>23</v>
      </c>
      <c r="B15" s="12" t="n">
        <f aca="false">'Thermal Hydraulics &amp; MLC'!$B$25</f>
        <v>0.700647851664309</v>
      </c>
      <c r="C15" s="6" t="s">
        <v>7</v>
      </c>
      <c r="D15" s="7" t="s">
        <v>22</v>
      </c>
    </row>
    <row r="16" customFormat="false" ht="15" hidden="false" customHeight="false" outlineLevel="0" collapsed="false">
      <c r="A16" s="4" t="s">
        <v>24</v>
      </c>
      <c r="B16" s="15" t="n">
        <f aca="false">'Thermal Hydraulics &amp; MLC'!$B$28</f>
        <v>66124.1613024</v>
      </c>
      <c r="C16" s="6" t="s">
        <v>25</v>
      </c>
      <c r="D16" s="7" t="s">
        <v>22</v>
      </c>
    </row>
    <row r="17" customFormat="false" ht="15" hidden="false" customHeight="false" outlineLevel="0" collapsed="false">
      <c r="A17" s="4" t="s">
        <v>26</v>
      </c>
      <c r="B17" s="15" t="n">
        <f aca="false">'Thermal Hydraulics &amp; MLC'!$B$30</f>
        <v>25788.422907936</v>
      </c>
      <c r="C17" s="6" t="s">
        <v>27</v>
      </c>
      <c r="D17" s="7" t="s">
        <v>22</v>
      </c>
    </row>
    <row r="18" customFormat="false" ht="15" hidden="false" customHeight="false" outlineLevel="0" collapsed="false">
      <c r="A18" s="4" t="s">
        <v>28</v>
      </c>
      <c r="B18" s="15" t="n">
        <f aca="false">'Thermal Hydraulics &amp; MLC'!$B$29</f>
        <v>9918.62419536</v>
      </c>
      <c r="C18" s="6" t="s">
        <v>29</v>
      </c>
      <c r="D18" s="7" t="s">
        <v>22</v>
      </c>
    </row>
    <row r="19" customFormat="false" ht="15" hidden="false" customHeight="false" outlineLevel="0" collapsed="false">
      <c r="A19" s="4" t="s">
        <v>30</v>
      </c>
      <c r="B19" s="15" t="n">
        <f aca="false">'Unit Economics &amp; KPIs'!B5</f>
        <v>2304</v>
      </c>
      <c r="C19" s="6" t="s">
        <v>31</v>
      </c>
      <c r="D19" s="7" t="s">
        <v>32</v>
      </c>
    </row>
    <row r="20" customFormat="false" ht="15" hidden="false" customHeight="false" outlineLevel="0" collapsed="false">
      <c r="A20" s="4" t="s">
        <v>33</v>
      </c>
      <c r="B20" s="11" t="n">
        <f aca="false">'Unit Economics &amp; KPIs'!B11</f>
        <v>142361.111111111</v>
      </c>
      <c r="C20" s="6" t="s">
        <v>34</v>
      </c>
      <c r="D20" s="7" t="s">
        <v>32</v>
      </c>
    </row>
    <row r="21" customFormat="false" ht="15" hidden="false" customHeight="false" outlineLevel="0" collapsed="false">
      <c r="A21" s="4" t="s">
        <v>35</v>
      </c>
      <c r="B21" s="16" t="n">
        <f aca="false">'Unit Economics &amp; KPIs'!B8</f>
        <v>5.01323797112521</v>
      </c>
      <c r="C21" s="6" t="s">
        <v>36</v>
      </c>
      <c r="D21" s="7" t="s">
        <v>32</v>
      </c>
    </row>
    <row r="22" customFormat="false" ht="15" hidden="false" customHeight="false" outlineLevel="0" collapsed="false">
      <c r="A22" s="4" t="s">
        <v>37</v>
      </c>
      <c r="B22" s="16" t="n">
        <f aca="false">'Unit Economics &amp; KPIs'!B16</f>
        <v>0.137869863373019</v>
      </c>
      <c r="C22" s="6" t="s">
        <v>38</v>
      </c>
      <c r="D22" s="7" t="s">
        <v>32</v>
      </c>
    </row>
    <row r="23" customFormat="false" ht="15" hidden="false" customHeight="false" outlineLevel="0" collapsed="false">
      <c r="A23" s="4" t="s">
        <v>39</v>
      </c>
      <c r="B23" s="12" t="n">
        <f aca="false">'Unit Economics &amp; KPIs'!B17</f>
        <v>0.0472894966018917</v>
      </c>
      <c r="C23" s="6" t="s">
        <v>7</v>
      </c>
      <c r="D23" s="7" t="s">
        <v>32</v>
      </c>
    </row>
    <row r="24" customFormat="false" ht="15" hidden="false" customHeight="false" outlineLevel="0" collapsed="false">
      <c r="A24" s="4" t="s">
        <v>40</v>
      </c>
      <c r="B24" s="17" t="n">
        <f aca="false">'Unit Economics &amp; KPIs'!B18</f>
        <v>1.12472791389946</v>
      </c>
      <c r="C24" s="6" t="s">
        <v>41</v>
      </c>
      <c r="D24" s="7" t="s">
        <v>32</v>
      </c>
    </row>
    <row r="25" customFormat="false" ht="15" hidden="false" customHeight="false" outlineLevel="0" collapsed="false">
      <c r="A25" s="4" t="s">
        <v>42</v>
      </c>
      <c r="B25" s="18" t="str">
        <f aca="false">'Control Panel &amp; Inputs'!$C$5&amp;"  (zone "&amp;'Control Panel &amp; Inputs'!$C$6&amp;")"</f>
        <v>Abu Dhabi, UAE  (zone 1A)</v>
      </c>
      <c r="C25" s="6"/>
      <c r="D25" s="7" t="s">
        <v>43</v>
      </c>
    </row>
    <row r="26" customFormat="false" ht="15" hidden="false" customHeight="false" outlineLevel="0" collapsed="false">
      <c r="A26" s="4" t="s">
        <v>44</v>
      </c>
      <c r="B26" s="14" t="n">
        <f aca="false">'Control Panel &amp; Inputs'!$C$7</f>
        <v>0.26</v>
      </c>
      <c r="C26" s="6" t="s">
        <v>45</v>
      </c>
      <c r="D26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 t="s">
        <v>49</v>
      </c>
      <c r="C4" s="3" t="s">
        <v>3</v>
      </c>
      <c r="D4" s="3" t="s">
        <v>4</v>
      </c>
      <c r="E4" s="3" t="s">
        <v>50</v>
      </c>
    </row>
    <row r="5" customFormat="false" ht="15" hidden="false" customHeight="false" outlineLevel="0" collapsed="false">
      <c r="A5" s="6" t="s">
        <v>51</v>
      </c>
      <c r="B5" s="6" t="s">
        <v>52</v>
      </c>
      <c r="C5" s="19" t="s">
        <v>53</v>
      </c>
      <c r="D5" s="6"/>
      <c r="E5" s="6" t="s">
        <v>54</v>
      </c>
    </row>
    <row r="6" customFormat="false" ht="15" hidden="false" customHeight="false" outlineLevel="0" collapsed="false">
      <c r="A6" s="6" t="s">
        <v>51</v>
      </c>
      <c r="B6" s="6" t="s">
        <v>55</v>
      </c>
      <c r="C6" s="20" t="str">
        <f aca="false">INDEX('ASHRAE Climate Library'!$B$5:$B$19,MATCH($C$5,'ASHRAE Climate Library'!$A$5:$A$19,0))</f>
        <v>1A</v>
      </c>
      <c r="D6" s="6"/>
      <c r="E6" s="6" t="s">
        <v>56</v>
      </c>
    </row>
    <row r="7" customFormat="false" ht="15" hidden="false" customHeight="false" outlineLevel="0" collapsed="false">
      <c r="A7" s="6" t="s">
        <v>51</v>
      </c>
      <c r="B7" s="6" t="s">
        <v>57</v>
      </c>
      <c r="C7" s="21" t="n">
        <f aca="false">INDEX('ASHRAE Climate Library'!$C$5:$C$19,MATCH($C$5,'ASHRAE Climate Library'!$A$5:$A$19,0))</f>
        <v>0.26</v>
      </c>
      <c r="D7" s="6"/>
      <c r="E7" s="6" t="s">
        <v>58</v>
      </c>
    </row>
    <row r="8" customFormat="false" ht="15" hidden="false" customHeight="false" outlineLevel="0" collapsed="false">
      <c r="A8" s="6" t="s">
        <v>51</v>
      </c>
      <c r="B8" s="6" t="s">
        <v>59</v>
      </c>
      <c r="C8" s="22" t="n">
        <f aca="false">INDEX('ASHRAE Climate Library'!$D$5:$D$19,MATCH($C$5,'ASHRAE Climate Library'!$A$5:$A$19,0))</f>
        <v>50</v>
      </c>
      <c r="D8" s="6" t="s">
        <v>60</v>
      </c>
      <c r="E8" s="6" t="s">
        <v>61</v>
      </c>
    </row>
    <row r="9" customFormat="false" ht="15" hidden="false" customHeight="false" outlineLevel="0" collapsed="false">
      <c r="A9" s="6" t="s">
        <v>51</v>
      </c>
      <c r="B9" s="6" t="s">
        <v>62</v>
      </c>
      <c r="C9" s="22" t="n">
        <f aca="false">INDEX('ASHRAE Climate Library'!$E$5:$E$19,MATCH($C$5,'ASHRAE Climate Library'!$A$5:$A$19,0))</f>
        <v>30</v>
      </c>
      <c r="D9" s="6" t="s">
        <v>60</v>
      </c>
      <c r="E9" s="6" t="s">
        <v>63</v>
      </c>
    </row>
    <row r="10" customFormat="false" ht="15" hidden="false" customHeight="false" outlineLevel="0" collapsed="false">
      <c r="A10" s="6" t="s">
        <v>51</v>
      </c>
      <c r="B10" s="6" t="s">
        <v>64</v>
      </c>
      <c r="C10" s="23" t="n">
        <v>0.39</v>
      </c>
      <c r="D10" s="6" t="s">
        <v>65</v>
      </c>
      <c r="E10" s="6" t="s">
        <v>66</v>
      </c>
    </row>
    <row r="11" customFormat="false" ht="15" hidden="false" customHeight="false" outlineLevel="0" collapsed="false">
      <c r="A11" s="6" t="s">
        <v>51</v>
      </c>
      <c r="B11" s="6" t="s">
        <v>67</v>
      </c>
      <c r="C11" s="23" t="n">
        <v>0.15</v>
      </c>
      <c r="D11" s="6" t="s">
        <v>68</v>
      </c>
      <c r="E11" s="6" t="s">
        <v>69</v>
      </c>
    </row>
    <row r="12" customFormat="false" ht="15" hidden="false" customHeight="false" outlineLevel="0" collapsed="false">
      <c r="A12" s="6" t="s">
        <v>70</v>
      </c>
      <c r="B12" s="6" t="s">
        <v>71</v>
      </c>
      <c r="C12" s="24" t="n">
        <v>32</v>
      </c>
      <c r="D12" s="6" t="s">
        <v>72</v>
      </c>
      <c r="E12" s="6" t="s">
        <v>73</v>
      </c>
    </row>
    <row r="13" customFormat="false" ht="15" hidden="false" customHeight="false" outlineLevel="0" collapsed="false">
      <c r="A13" s="6" t="s">
        <v>70</v>
      </c>
      <c r="B13" s="6" t="s">
        <v>74</v>
      </c>
      <c r="C13" s="25" t="n">
        <v>227</v>
      </c>
      <c r="D13" s="6" t="s">
        <v>75</v>
      </c>
      <c r="E13" s="6" t="s">
        <v>76</v>
      </c>
    </row>
    <row r="14" customFormat="false" ht="15" hidden="false" customHeight="false" outlineLevel="0" collapsed="false">
      <c r="A14" s="6" t="s">
        <v>70</v>
      </c>
      <c r="B14" s="6" t="s">
        <v>77</v>
      </c>
      <c r="C14" s="19" t="s">
        <v>78</v>
      </c>
      <c r="D14" s="6" t="s">
        <v>79</v>
      </c>
      <c r="E14" s="6" t="s">
        <v>80</v>
      </c>
    </row>
    <row r="15" customFormat="false" ht="15" hidden="false" customHeight="false" outlineLevel="0" collapsed="false">
      <c r="A15" s="6" t="s">
        <v>70</v>
      </c>
      <c r="B15" s="6" t="s">
        <v>81</v>
      </c>
      <c r="C15" s="24" t="n">
        <v>6</v>
      </c>
      <c r="D15" s="6" t="s">
        <v>72</v>
      </c>
      <c r="E15" s="6" t="s">
        <v>82</v>
      </c>
    </row>
    <row r="16" customFormat="false" ht="15" hidden="false" customHeight="false" outlineLevel="0" collapsed="false">
      <c r="A16" s="6" t="s">
        <v>70</v>
      </c>
      <c r="B16" s="6" t="s">
        <v>83</v>
      </c>
      <c r="C16" s="25" t="n">
        <v>100</v>
      </c>
      <c r="D16" s="6" t="s">
        <v>75</v>
      </c>
      <c r="E16" s="6" t="s">
        <v>84</v>
      </c>
    </row>
    <row r="17" customFormat="false" ht="15" hidden="false" customHeight="false" outlineLevel="0" collapsed="false">
      <c r="A17" s="6" t="s">
        <v>70</v>
      </c>
      <c r="B17" s="6" t="s">
        <v>85</v>
      </c>
      <c r="C17" s="19" t="s">
        <v>86</v>
      </c>
      <c r="D17" s="6" t="s">
        <v>79</v>
      </c>
      <c r="E17" s="6" t="s">
        <v>87</v>
      </c>
    </row>
    <row r="18" customFormat="false" ht="15" hidden="false" customHeight="false" outlineLevel="0" collapsed="false">
      <c r="A18" s="6" t="s">
        <v>70</v>
      </c>
      <c r="B18" s="6" t="s">
        <v>88</v>
      </c>
      <c r="C18" s="24" t="n">
        <v>10</v>
      </c>
      <c r="D18" s="6" t="s">
        <v>72</v>
      </c>
      <c r="E18" s="6" t="s">
        <v>89</v>
      </c>
    </row>
    <row r="19" customFormat="false" ht="15" hidden="false" customHeight="false" outlineLevel="0" collapsed="false">
      <c r="A19" s="6" t="s">
        <v>70</v>
      </c>
      <c r="B19" s="6" t="s">
        <v>90</v>
      </c>
      <c r="C19" s="25" t="n">
        <v>40</v>
      </c>
      <c r="D19" s="6" t="s">
        <v>75</v>
      </c>
      <c r="E19" s="6" t="s">
        <v>91</v>
      </c>
    </row>
    <row r="20" customFormat="false" ht="15" hidden="false" customHeight="false" outlineLevel="0" collapsed="false">
      <c r="A20" s="6" t="s">
        <v>70</v>
      </c>
      <c r="B20" s="6" t="s">
        <v>92</v>
      </c>
      <c r="C20" s="19" t="s">
        <v>86</v>
      </c>
      <c r="D20" s="6" t="s">
        <v>79</v>
      </c>
      <c r="E20" s="6" t="s">
        <v>87</v>
      </c>
    </row>
    <row r="21" customFormat="false" ht="15" hidden="false" customHeight="false" outlineLevel="0" collapsed="false">
      <c r="A21" s="6" t="s">
        <v>70</v>
      </c>
      <c r="B21" s="6" t="s">
        <v>93</v>
      </c>
      <c r="C21" s="24" t="n">
        <v>72</v>
      </c>
      <c r="D21" s="6" t="s">
        <v>31</v>
      </c>
      <c r="E21" s="6" t="s">
        <v>94</v>
      </c>
    </row>
    <row r="22" customFormat="false" ht="15" hidden="false" customHeight="false" outlineLevel="0" collapsed="false">
      <c r="A22" s="6" t="s">
        <v>70</v>
      </c>
      <c r="B22" s="6" t="s">
        <v>95</v>
      </c>
      <c r="C22" s="26" t="n">
        <v>0.05</v>
      </c>
      <c r="D22" s="6" t="s">
        <v>96</v>
      </c>
      <c r="E22" s="6" t="s">
        <v>97</v>
      </c>
    </row>
    <row r="23" customFormat="false" ht="15" hidden="false" customHeight="false" outlineLevel="0" collapsed="false">
      <c r="A23" s="6" t="s">
        <v>70</v>
      </c>
      <c r="B23" s="6" t="s">
        <v>98</v>
      </c>
      <c r="C23" s="26" t="n">
        <v>0.28</v>
      </c>
      <c r="D23" s="6" t="s">
        <v>96</v>
      </c>
      <c r="E23" s="6" t="s">
        <v>99</v>
      </c>
    </row>
    <row r="24" customFormat="false" ht="15" hidden="false" customHeight="false" outlineLevel="0" collapsed="false">
      <c r="A24" s="6" t="s">
        <v>70</v>
      </c>
      <c r="B24" s="6" t="s">
        <v>100</v>
      </c>
      <c r="C24" s="25" t="n">
        <v>45</v>
      </c>
      <c r="D24" s="6" t="s">
        <v>60</v>
      </c>
      <c r="E24" s="6" t="s">
        <v>101</v>
      </c>
    </row>
    <row r="25" customFormat="false" ht="15" hidden="false" customHeight="false" outlineLevel="0" collapsed="false">
      <c r="A25" s="6" t="s">
        <v>70</v>
      </c>
      <c r="B25" s="6" t="s">
        <v>102</v>
      </c>
      <c r="C25" s="25" t="n">
        <v>55</v>
      </c>
      <c r="D25" s="6" t="s">
        <v>60</v>
      </c>
      <c r="E25" s="6" t="s">
        <v>103</v>
      </c>
    </row>
    <row r="26" customFormat="false" ht="15" hidden="false" customHeight="false" outlineLevel="0" collapsed="false">
      <c r="A26" s="6" t="s">
        <v>70</v>
      </c>
      <c r="B26" s="6" t="s">
        <v>104</v>
      </c>
      <c r="C26" s="27" t="n">
        <v>3.85</v>
      </c>
      <c r="D26" s="6" t="s">
        <v>105</v>
      </c>
      <c r="E26" s="6" t="s">
        <v>106</v>
      </c>
    </row>
    <row r="27" customFormat="false" ht="15" hidden="false" customHeight="false" outlineLevel="0" collapsed="false">
      <c r="A27" s="6" t="s">
        <v>70</v>
      </c>
      <c r="B27" s="6" t="s">
        <v>107</v>
      </c>
      <c r="C27" s="27" t="n">
        <v>1.03</v>
      </c>
      <c r="D27" s="6" t="s">
        <v>108</v>
      </c>
      <c r="E27" s="6" t="s">
        <v>109</v>
      </c>
    </row>
    <row r="28" customFormat="false" ht="15" hidden="false" customHeight="false" outlineLevel="0" collapsed="false">
      <c r="A28" s="6" t="s">
        <v>70</v>
      </c>
      <c r="B28" s="6" t="s">
        <v>110</v>
      </c>
      <c r="C28" s="23" t="n">
        <v>1.08</v>
      </c>
      <c r="D28" s="6"/>
      <c r="E28" s="6" t="s">
        <v>111</v>
      </c>
    </row>
    <row r="29" customFormat="false" ht="15" hidden="false" customHeight="false" outlineLevel="0" collapsed="false">
      <c r="A29" s="6" t="s">
        <v>70</v>
      </c>
      <c r="B29" s="6" t="s">
        <v>112</v>
      </c>
      <c r="C29" s="26" t="n">
        <v>0.85</v>
      </c>
      <c r="D29" s="6" t="s">
        <v>7</v>
      </c>
      <c r="E29" s="6" t="s">
        <v>113</v>
      </c>
    </row>
    <row r="30" customFormat="false" ht="15" hidden="false" customHeight="false" outlineLevel="0" collapsed="false">
      <c r="A30" s="6" t="s">
        <v>70</v>
      </c>
      <c r="B30" s="6" t="s">
        <v>114</v>
      </c>
      <c r="C30" s="28" t="n">
        <v>0.995</v>
      </c>
      <c r="D30" s="6" t="s">
        <v>7</v>
      </c>
      <c r="E30" s="6" t="s">
        <v>115</v>
      </c>
    </row>
    <row r="31" customFormat="false" ht="15" hidden="false" customHeight="false" outlineLevel="0" collapsed="false">
      <c r="A31" s="6" t="s">
        <v>70</v>
      </c>
      <c r="B31" s="6" t="s">
        <v>116</v>
      </c>
      <c r="C31" s="24" t="n">
        <v>1800</v>
      </c>
      <c r="D31" s="6" t="s">
        <v>117</v>
      </c>
      <c r="E31" s="6" t="s">
        <v>118</v>
      </c>
    </row>
    <row r="32" customFormat="false" ht="15" hidden="false" customHeight="false" outlineLevel="0" collapsed="false">
      <c r="A32" s="6" t="s">
        <v>70</v>
      </c>
      <c r="B32" s="6" t="s">
        <v>119</v>
      </c>
      <c r="C32" s="26" t="n">
        <v>0.3</v>
      </c>
      <c r="D32" s="6" t="s">
        <v>7</v>
      </c>
      <c r="E32" s="6" t="s">
        <v>120</v>
      </c>
    </row>
    <row r="33" customFormat="false" ht="15" hidden="false" customHeight="false" outlineLevel="0" collapsed="false">
      <c r="A33" s="6" t="s">
        <v>121</v>
      </c>
      <c r="B33" s="6" t="s">
        <v>122</v>
      </c>
      <c r="C33" s="29" t="n">
        <v>0.06</v>
      </c>
      <c r="D33" s="6" t="s">
        <v>41</v>
      </c>
      <c r="E33" s="6" t="s">
        <v>123</v>
      </c>
    </row>
    <row r="34" customFormat="false" ht="15" hidden="false" customHeight="false" outlineLevel="0" collapsed="false">
      <c r="A34" s="6" t="s">
        <v>121</v>
      </c>
      <c r="B34" s="6" t="s">
        <v>124</v>
      </c>
      <c r="C34" s="26" t="n">
        <v>0.02</v>
      </c>
      <c r="D34" s="6" t="s">
        <v>125</v>
      </c>
      <c r="E34" s="6" t="s">
        <v>126</v>
      </c>
    </row>
    <row r="35" customFormat="false" ht="15" hidden="false" customHeight="false" outlineLevel="0" collapsed="false">
      <c r="A35" s="6" t="s">
        <v>121</v>
      </c>
      <c r="B35" s="6" t="s">
        <v>127</v>
      </c>
      <c r="C35" s="30" t="n">
        <v>328000000</v>
      </c>
      <c r="D35" s="6" t="s">
        <v>11</v>
      </c>
      <c r="E35" s="6" t="s">
        <v>128</v>
      </c>
    </row>
    <row r="36" customFormat="false" ht="15" hidden="false" customHeight="false" outlineLevel="0" collapsed="false">
      <c r="A36" s="6" t="s">
        <v>121</v>
      </c>
      <c r="B36" s="6" t="s">
        <v>129</v>
      </c>
      <c r="C36" s="26" t="n">
        <v>0.1</v>
      </c>
      <c r="D36" s="6" t="s">
        <v>7</v>
      </c>
      <c r="E36" s="6" t="s">
        <v>130</v>
      </c>
    </row>
    <row r="37" customFormat="false" ht="15" hidden="false" customHeight="false" outlineLevel="0" collapsed="false">
      <c r="A37" s="6" t="s">
        <v>121</v>
      </c>
      <c r="B37" s="6" t="s">
        <v>131</v>
      </c>
      <c r="C37" s="26" t="n">
        <v>0.8</v>
      </c>
      <c r="D37" s="6" t="s">
        <v>7</v>
      </c>
      <c r="E37" s="6" t="s">
        <v>132</v>
      </c>
    </row>
    <row r="38" customFormat="false" ht="15" hidden="false" customHeight="false" outlineLevel="0" collapsed="false">
      <c r="A38" s="6" t="s">
        <v>121</v>
      </c>
      <c r="B38" s="6" t="s">
        <v>133</v>
      </c>
      <c r="C38" s="26" t="n">
        <v>0.065</v>
      </c>
      <c r="D38" s="6" t="s">
        <v>7</v>
      </c>
      <c r="E38" s="6" t="s">
        <v>134</v>
      </c>
    </row>
    <row r="39" customFormat="false" ht="15" hidden="false" customHeight="false" outlineLevel="0" collapsed="false">
      <c r="A39" s="6" t="s">
        <v>121</v>
      </c>
      <c r="B39" s="6" t="s">
        <v>135</v>
      </c>
      <c r="C39" s="24" t="n">
        <v>5</v>
      </c>
      <c r="D39" s="6" t="s">
        <v>136</v>
      </c>
      <c r="E39" s="6" t="s">
        <v>137</v>
      </c>
    </row>
    <row r="40" customFormat="false" ht="15" hidden="false" customHeight="false" outlineLevel="0" collapsed="false">
      <c r="A40" s="6" t="s">
        <v>121</v>
      </c>
      <c r="B40" s="6" t="s">
        <v>138</v>
      </c>
      <c r="C40" s="24" t="n">
        <v>5</v>
      </c>
      <c r="D40" s="6" t="s">
        <v>136</v>
      </c>
      <c r="E40" s="6" t="s">
        <v>139</v>
      </c>
    </row>
    <row r="41" customFormat="false" ht="15" hidden="false" customHeight="false" outlineLevel="0" collapsed="false">
      <c r="A41" s="6" t="s">
        <v>121</v>
      </c>
      <c r="B41" s="6" t="s">
        <v>140</v>
      </c>
      <c r="C41" s="24" t="n">
        <v>5</v>
      </c>
      <c r="D41" s="6" t="s">
        <v>136</v>
      </c>
      <c r="E41" s="6" t="s">
        <v>141</v>
      </c>
    </row>
    <row r="42" customFormat="false" ht="15" hidden="false" customHeight="false" outlineLevel="0" collapsed="false">
      <c r="A42" s="6" t="s">
        <v>121</v>
      </c>
      <c r="B42" s="6" t="s">
        <v>142</v>
      </c>
      <c r="C42" s="26" t="n">
        <v>0.09</v>
      </c>
      <c r="D42" s="6" t="s">
        <v>7</v>
      </c>
      <c r="E42" s="6" t="s">
        <v>143</v>
      </c>
    </row>
    <row r="43" customFormat="false" ht="15" hidden="false" customHeight="false" outlineLevel="0" collapsed="false">
      <c r="A43" s="6" t="s">
        <v>121</v>
      </c>
      <c r="B43" s="6" t="s">
        <v>144</v>
      </c>
      <c r="C43" s="26" t="n">
        <v>0.3</v>
      </c>
      <c r="D43" s="6" t="s">
        <v>7</v>
      </c>
      <c r="E43" s="6" t="s">
        <v>145</v>
      </c>
    </row>
    <row r="44" customFormat="false" ht="15" hidden="false" customHeight="false" outlineLevel="0" collapsed="false">
      <c r="A44" s="6" t="s">
        <v>121</v>
      </c>
      <c r="B44" s="6" t="s">
        <v>146</v>
      </c>
      <c r="C44" s="26" t="n">
        <v>0.15</v>
      </c>
      <c r="D44" s="6" t="s">
        <v>7</v>
      </c>
      <c r="E44" s="6" t="s">
        <v>147</v>
      </c>
    </row>
    <row r="45" customFormat="false" ht="15" hidden="false" customHeight="false" outlineLevel="0" collapsed="false">
      <c r="A45" s="6" t="s">
        <v>121</v>
      </c>
      <c r="B45" s="6" t="s">
        <v>148</v>
      </c>
      <c r="C45" s="30" t="n">
        <v>10877000</v>
      </c>
      <c r="D45" s="6" t="s">
        <v>149</v>
      </c>
      <c r="E45" s="6" t="s">
        <v>150</v>
      </c>
    </row>
    <row r="46" customFormat="false" ht="15" hidden="false" customHeight="false" outlineLevel="0" collapsed="false">
      <c r="A46" s="6" t="s">
        <v>121</v>
      </c>
      <c r="B46" s="6" t="s">
        <v>151</v>
      </c>
      <c r="C46" s="26" t="n">
        <v>0.03</v>
      </c>
      <c r="D46" s="6" t="s">
        <v>125</v>
      </c>
      <c r="E46" s="6" t="s">
        <v>152</v>
      </c>
    </row>
    <row r="47" customFormat="false" ht="15" hidden="false" customHeight="false" outlineLevel="0" collapsed="false">
      <c r="A47" s="6" t="s">
        <v>153</v>
      </c>
      <c r="B47" s="6" t="s">
        <v>154</v>
      </c>
      <c r="C47" s="30" t="n">
        <v>58800000</v>
      </c>
      <c r="D47" s="6" t="s">
        <v>149</v>
      </c>
      <c r="E47" s="6" t="s">
        <v>155</v>
      </c>
    </row>
    <row r="48" customFormat="false" ht="15" hidden="false" customHeight="false" outlineLevel="0" collapsed="false">
      <c r="A48" s="6" t="s">
        <v>153</v>
      </c>
      <c r="B48" s="6" t="s">
        <v>156</v>
      </c>
      <c r="C48" s="30" t="n">
        <v>25200000</v>
      </c>
      <c r="D48" s="6" t="s">
        <v>149</v>
      </c>
      <c r="E48" s="6" t="s">
        <v>157</v>
      </c>
    </row>
    <row r="49" customFormat="false" ht="15" hidden="false" customHeight="false" outlineLevel="0" collapsed="false">
      <c r="A49" s="6" t="s">
        <v>153</v>
      </c>
      <c r="B49" s="6" t="s">
        <v>158</v>
      </c>
      <c r="C49" s="26" t="n">
        <v>0.9</v>
      </c>
      <c r="D49" s="6" t="s">
        <v>7</v>
      </c>
      <c r="E49" s="6" t="s">
        <v>159</v>
      </c>
    </row>
    <row r="50" customFormat="false" ht="15" hidden="false" customHeight="false" outlineLevel="0" collapsed="false">
      <c r="A50" s="6" t="s">
        <v>153</v>
      </c>
      <c r="B50" s="6" t="s">
        <v>160</v>
      </c>
      <c r="C50" s="26" t="n">
        <v>0</v>
      </c>
      <c r="D50" s="6" t="s">
        <v>125</v>
      </c>
      <c r="E50" s="6" t="s">
        <v>161</v>
      </c>
    </row>
    <row r="51" customFormat="false" ht="15" hidden="false" customHeight="false" outlineLevel="0" collapsed="false">
      <c r="A51" s="6" t="s">
        <v>153</v>
      </c>
      <c r="B51" s="6" t="s">
        <v>162</v>
      </c>
      <c r="C51" s="26" t="n">
        <v>0.15</v>
      </c>
      <c r="D51" s="6" t="s">
        <v>125</v>
      </c>
      <c r="E51" s="6" t="s">
        <v>163</v>
      </c>
    </row>
    <row r="52" customFormat="false" ht="15" hidden="false" customHeight="false" outlineLevel="0" collapsed="false">
      <c r="A52" s="6" t="s">
        <v>153</v>
      </c>
      <c r="B52" s="6" t="s">
        <v>164</v>
      </c>
      <c r="C52" s="26" t="n">
        <v>0.25</v>
      </c>
      <c r="D52" s="6" t="s">
        <v>125</v>
      </c>
      <c r="E52" s="6" t="s">
        <v>165</v>
      </c>
    </row>
    <row r="53" customFormat="false" ht="15" hidden="false" customHeight="false" outlineLevel="0" collapsed="false">
      <c r="A53" s="6" t="s">
        <v>166</v>
      </c>
      <c r="B53" s="6" t="s">
        <v>167</v>
      </c>
      <c r="C53" s="19" t="s">
        <v>168</v>
      </c>
      <c r="D53" s="6" t="s">
        <v>169</v>
      </c>
      <c r="E53" s="6" t="s">
        <v>170</v>
      </c>
    </row>
    <row r="55" customFormat="false" ht="15" hidden="false" customHeight="false" outlineLevel="0" collapsed="false">
      <c r="A55" s="2" t="s">
        <v>171</v>
      </c>
    </row>
    <row r="56" customFormat="false" ht="15" hidden="false" customHeight="false" outlineLevel="0" collapsed="false">
      <c r="A56" s="2" t="s">
        <v>172</v>
      </c>
    </row>
    <row r="57" customFormat="false" ht="15" hidden="false" customHeight="false" outlineLevel="0" collapsed="false">
      <c r="A57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9"/>
    <col collapsed="false" customWidth="true" hidden="false" outlineLevel="0" max="3" min="3" style="0" width="30"/>
    <col collapsed="false" customWidth="true" hidden="false" outlineLevel="0" max="5" min="4" style="0" width="29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3" t="s">
        <v>176</v>
      </c>
      <c r="B4" s="3" t="s">
        <v>177</v>
      </c>
      <c r="C4" s="3" t="s">
        <v>178</v>
      </c>
      <c r="D4" s="3" t="s">
        <v>179</v>
      </c>
      <c r="E4" s="3" t="s">
        <v>180</v>
      </c>
      <c r="F4" s="3" t="s">
        <v>181</v>
      </c>
    </row>
    <row r="5" customFormat="false" ht="15" hidden="false" customHeight="false" outlineLevel="0" collapsed="false">
      <c r="A5" s="6" t="s">
        <v>53</v>
      </c>
      <c r="B5" s="6" t="s">
        <v>182</v>
      </c>
      <c r="C5" s="31" t="n">
        <v>0.26</v>
      </c>
      <c r="D5" s="32" t="n">
        <v>50</v>
      </c>
      <c r="E5" s="32" t="n">
        <v>30</v>
      </c>
      <c r="F5" s="6" t="s">
        <v>183</v>
      </c>
    </row>
    <row r="6" customFormat="false" ht="15" hidden="false" customHeight="false" outlineLevel="0" collapsed="false">
      <c r="A6" s="6" t="s">
        <v>184</v>
      </c>
      <c r="B6" s="6" t="s">
        <v>185</v>
      </c>
      <c r="C6" s="31" t="n">
        <v>0.28</v>
      </c>
      <c r="D6" s="32" t="n">
        <v>49.5</v>
      </c>
      <c r="E6" s="32" t="n">
        <v>31</v>
      </c>
      <c r="F6" s="6"/>
    </row>
    <row r="7" customFormat="false" ht="15" hidden="false" customHeight="false" outlineLevel="0" collapsed="false">
      <c r="A7" s="6" t="s">
        <v>186</v>
      </c>
      <c r="B7" s="6" t="s">
        <v>185</v>
      </c>
      <c r="C7" s="31" t="n">
        <v>0.28</v>
      </c>
      <c r="D7" s="32" t="n">
        <v>49</v>
      </c>
      <c r="E7" s="32" t="n">
        <v>24</v>
      </c>
      <c r="F7" s="6" t="s">
        <v>187</v>
      </c>
    </row>
    <row r="8" customFormat="false" ht="15" hidden="false" customHeight="false" outlineLevel="0" collapsed="false">
      <c r="A8" s="6" t="s">
        <v>188</v>
      </c>
      <c r="B8" s="6" t="s">
        <v>189</v>
      </c>
      <c r="C8" s="31" t="n">
        <v>0.28</v>
      </c>
      <c r="D8" s="32" t="n">
        <v>36.5</v>
      </c>
      <c r="E8" s="32" t="n">
        <v>29.5</v>
      </c>
      <c r="F8" s="6" t="s">
        <v>190</v>
      </c>
    </row>
    <row r="9" customFormat="false" ht="15" hidden="false" customHeight="false" outlineLevel="0" collapsed="false">
      <c r="A9" s="6" t="s">
        <v>191</v>
      </c>
      <c r="B9" s="6" t="s">
        <v>189</v>
      </c>
      <c r="C9" s="31" t="n">
        <v>0.28</v>
      </c>
      <c r="D9" s="32" t="n">
        <v>39.5</v>
      </c>
      <c r="E9" s="32" t="n">
        <v>30</v>
      </c>
      <c r="F9" s="6"/>
    </row>
    <row r="10" customFormat="false" ht="15" hidden="false" customHeight="false" outlineLevel="0" collapsed="false">
      <c r="A10" s="6" t="s">
        <v>192</v>
      </c>
      <c r="B10" s="6" t="s">
        <v>193</v>
      </c>
      <c r="C10" s="31" t="n">
        <v>0.25</v>
      </c>
      <c r="D10" s="32" t="n">
        <v>48.5</v>
      </c>
      <c r="E10" s="32" t="n">
        <v>26.5</v>
      </c>
      <c r="F10" s="6"/>
    </row>
    <row r="11" customFormat="false" ht="15" hidden="false" customHeight="false" outlineLevel="0" collapsed="false">
      <c r="A11" s="6" t="s">
        <v>194</v>
      </c>
      <c r="B11" s="6" t="s">
        <v>195</v>
      </c>
      <c r="C11" s="31" t="n">
        <v>0.21</v>
      </c>
      <c r="D11" s="32" t="n">
        <v>43.5</v>
      </c>
      <c r="E11" s="32" t="n">
        <v>27.5</v>
      </c>
      <c r="F11" s="6"/>
    </row>
    <row r="12" customFormat="false" ht="15" hidden="false" customHeight="false" outlineLevel="0" collapsed="false">
      <c r="A12" s="6" t="s">
        <v>196</v>
      </c>
      <c r="B12" s="6" t="s">
        <v>197</v>
      </c>
      <c r="C12" s="31" t="n">
        <v>0.19</v>
      </c>
      <c r="D12" s="32" t="n">
        <v>39</v>
      </c>
      <c r="E12" s="32" t="n">
        <v>27</v>
      </c>
      <c r="F12" s="6" t="s">
        <v>198</v>
      </c>
    </row>
    <row r="13" customFormat="false" ht="15" hidden="false" customHeight="false" outlineLevel="0" collapsed="false">
      <c r="A13" s="6" t="s">
        <v>199</v>
      </c>
      <c r="B13" s="6" t="s">
        <v>200</v>
      </c>
      <c r="C13" s="31" t="n">
        <v>0.16</v>
      </c>
      <c r="D13" s="32" t="n">
        <v>38.5</v>
      </c>
      <c r="E13" s="32" t="n">
        <v>27</v>
      </c>
      <c r="F13" s="6"/>
    </row>
    <row r="14" customFormat="false" ht="15" hidden="false" customHeight="false" outlineLevel="0" collapsed="false">
      <c r="A14" s="6" t="s">
        <v>201</v>
      </c>
      <c r="B14" s="6" t="s">
        <v>200</v>
      </c>
      <c r="C14" s="31" t="n">
        <v>0.16</v>
      </c>
      <c r="D14" s="32" t="n">
        <v>37.5</v>
      </c>
      <c r="E14" s="32" t="n">
        <v>23</v>
      </c>
      <c r="F14" s="6"/>
    </row>
    <row r="15" customFormat="false" ht="15" hidden="false" customHeight="false" outlineLevel="0" collapsed="false">
      <c r="A15" s="6" t="s">
        <v>202</v>
      </c>
      <c r="B15" s="6" t="s">
        <v>200</v>
      </c>
      <c r="C15" s="31" t="n">
        <v>0.16</v>
      </c>
      <c r="D15" s="32" t="n">
        <v>35</v>
      </c>
      <c r="E15" s="32" t="n">
        <v>22</v>
      </c>
      <c r="F15" s="6"/>
    </row>
    <row r="16" customFormat="false" ht="15" hidden="false" customHeight="false" outlineLevel="0" collapsed="false">
      <c r="A16" s="6" t="s">
        <v>203</v>
      </c>
      <c r="B16" s="6" t="s">
        <v>200</v>
      </c>
      <c r="C16" s="31" t="n">
        <v>0.16</v>
      </c>
      <c r="D16" s="32" t="n">
        <v>28.5</v>
      </c>
      <c r="E16" s="32" t="n">
        <v>19.5</v>
      </c>
      <c r="F16" s="6" t="s">
        <v>204</v>
      </c>
    </row>
    <row r="17" customFormat="false" ht="15" hidden="false" customHeight="false" outlineLevel="0" collapsed="false">
      <c r="A17" s="6" t="s">
        <v>205</v>
      </c>
      <c r="B17" s="6" t="s">
        <v>206</v>
      </c>
      <c r="C17" s="31" t="n">
        <v>0.15</v>
      </c>
      <c r="D17" s="32" t="n">
        <v>32</v>
      </c>
      <c r="E17" s="32" t="n">
        <v>21</v>
      </c>
      <c r="F17" s="6"/>
    </row>
    <row r="18" customFormat="false" ht="15" hidden="false" customHeight="false" outlineLevel="0" collapsed="false">
      <c r="A18" s="6" t="s">
        <v>207</v>
      </c>
      <c r="B18" s="6" t="s">
        <v>195</v>
      </c>
      <c r="C18" s="31" t="n">
        <v>0.21</v>
      </c>
      <c r="D18" s="32" t="n">
        <v>37.5</v>
      </c>
      <c r="E18" s="32" t="n">
        <v>27.5</v>
      </c>
      <c r="F18" s="6"/>
    </row>
    <row r="19" customFormat="false" ht="15" hidden="false" customHeight="false" outlineLevel="0" collapsed="false">
      <c r="A19" s="6" t="s">
        <v>208</v>
      </c>
      <c r="B19" s="6" t="s">
        <v>195</v>
      </c>
      <c r="C19" s="31" t="n">
        <v>0.21</v>
      </c>
      <c r="D19" s="32" t="n">
        <v>43</v>
      </c>
      <c r="E19" s="32" t="n">
        <v>24.5</v>
      </c>
      <c r="F1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3" t="s">
        <v>211</v>
      </c>
      <c r="B4" s="3" t="s">
        <v>3</v>
      </c>
      <c r="C4" s="3" t="s">
        <v>4</v>
      </c>
      <c r="D4" s="3" t="s">
        <v>181</v>
      </c>
    </row>
    <row r="5" customFormat="false" ht="15" hidden="false" customHeight="false" outlineLevel="0" collapsed="false">
      <c r="A5" s="6" t="s">
        <v>212</v>
      </c>
      <c r="B5" s="33" t="n">
        <f aca="false">'Control Panel &amp; Inputs'!$C$12*'Control Panel &amp; Inputs'!$C$13</f>
        <v>7264</v>
      </c>
      <c r="C5" s="6" t="s">
        <v>213</v>
      </c>
      <c r="D5" s="6" t="s">
        <v>214</v>
      </c>
    </row>
    <row r="6" customFormat="false" ht="15" hidden="false" customHeight="false" outlineLevel="0" collapsed="false">
      <c r="A6" s="6" t="s">
        <v>215</v>
      </c>
      <c r="B6" s="33" t="n">
        <f aca="false">'Control Panel &amp; Inputs'!$C$15*'Control Panel &amp; Inputs'!$C$16</f>
        <v>600</v>
      </c>
      <c r="C6" s="6" t="s">
        <v>213</v>
      </c>
      <c r="D6" s="6" t="s">
        <v>216</v>
      </c>
    </row>
    <row r="7" customFormat="false" ht="15" hidden="false" customHeight="false" outlineLevel="0" collapsed="false">
      <c r="A7" s="6" t="s">
        <v>217</v>
      </c>
      <c r="B7" s="33" t="n">
        <f aca="false">'Control Panel &amp; Inputs'!$C$18*'Control Panel &amp; Inputs'!$C$19</f>
        <v>400</v>
      </c>
      <c r="C7" s="6" t="s">
        <v>213</v>
      </c>
      <c r="D7" s="6" t="s">
        <v>218</v>
      </c>
    </row>
    <row r="8" customFormat="false" ht="15" hidden="false" customHeight="false" outlineLevel="0" collapsed="false">
      <c r="A8" s="6" t="s">
        <v>219</v>
      </c>
      <c r="B8" s="33" t="n">
        <f aca="false">B5+B6+B7</f>
        <v>8264</v>
      </c>
      <c r="C8" s="6" t="s">
        <v>213</v>
      </c>
      <c r="D8" s="6" t="s">
        <v>220</v>
      </c>
    </row>
    <row r="9" customFormat="false" ht="15" hidden="false" customHeight="false" outlineLevel="0" collapsed="false">
      <c r="A9" s="6" t="s">
        <v>221</v>
      </c>
      <c r="B9" s="33" t="n">
        <f aca="false">IF('Control Panel &amp; Inputs'!$C$14="Liquid",B5,0)+IF('Control Panel &amp; Inputs'!$C$17="Liquid",B6,0)+IF('Control Panel &amp; Inputs'!$C$20="Liquid",B7,0)</f>
        <v>7264</v>
      </c>
      <c r="C9" s="6" t="s">
        <v>213</v>
      </c>
      <c r="D9" s="6" t="s">
        <v>222</v>
      </c>
    </row>
    <row r="10" customFormat="false" ht="15" hidden="false" customHeight="false" outlineLevel="0" collapsed="false">
      <c r="A10" s="6" t="s">
        <v>223</v>
      </c>
      <c r="B10" s="33" t="n">
        <f aca="false">B8-B9</f>
        <v>1000</v>
      </c>
      <c r="C10" s="6" t="s">
        <v>213</v>
      </c>
      <c r="D10" s="6" t="s">
        <v>224</v>
      </c>
    </row>
    <row r="11" customFormat="false" ht="15" hidden="false" customHeight="false" outlineLevel="0" collapsed="false">
      <c r="A11" s="6" t="s">
        <v>225</v>
      </c>
      <c r="B11" s="34" t="n">
        <f aca="false">IF('Control Panel &amp; Inputs'!$C$14="Liquid",'Control Panel &amp; Inputs'!$C$12,0)+IF('Control Panel &amp; Inputs'!$C$17="Liquid",'Control Panel &amp; Inputs'!$C$15,0)+IF('Control Panel &amp; Inputs'!$C$20="Liquid",'Control Panel &amp; Inputs'!$C$18,0)</f>
        <v>32</v>
      </c>
      <c r="C11" s="6" t="s">
        <v>72</v>
      </c>
      <c r="D11" s="6" t="s">
        <v>226</v>
      </c>
    </row>
    <row r="12" customFormat="false" ht="15" hidden="false" customHeight="false" outlineLevel="0" collapsed="false">
      <c r="A12" s="6" t="s">
        <v>227</v>
      </c>
      <c r="B12" s="33" t="n">
        <f aca="false">'Control Panel &amp; Inputs'!$C$24</f>
        <v>45</v>
      </c>
      <c r="C12" s="6" t="s">
        <v>60</v>
      </c>
      <c r="D12" s="6" t="s">
        <v>228</v>
      </c>
    </row>
    <row r="13" customFormat="false" ht="15" hidden="false" customHeight="false" outlineLevel="0" collapsed="false">
      <c r="A13" s="6" t="s">
        <v>229</v>
      </c>
      <c r="B13" s="33" t="n">
        <f aca="false">'Control Panel &amp; Inputs'!$C$25</f>
        <v>55</v>
      </c>
      <c r="C13" s="6" t="s">
        <v>60</v>
      </c>
      <c r="D13" s="6" t="s">
        <v>230</v>
      </c>
    </row>
    <row r="14" customFormat="false" ht="15" hidden="false" customHeight="false" outlineLevel="0" collapsed="false">
      <c r="A14" s="6" t="s">
        <v>231</v>
      </c>
      <c r="B14" s="33" t="n">
        <f aca="false">B13-B12</f>
        <v>10</v>
      </c>
      <c r="C14" s="6" t="s">
        <v>60</v>
      </c>
      <c r="D14" s="6" t="s">
        <v>232</v>
      </c>
    </row>
    <row r="15" customFormat="false" ht="15" hidden="false" customHeight="false" outlineLevel="0" collapsed="false">
      <c r="A15" s="6" t="s">
        <v>233</v>
      </c>
      <c r="B15" s="33" t="n">
        <f aca="false">'Control Panel &amp; Inputs'!$C$13/('Control Panel &amp; Inputs'!$C$27*'Control Panel &amp; Inputs'!$C$26*B14)*60</f>
        <v>343.462362879839</v>
      </c>
      <c r="C15" s="6" t="s">
        <v>234</v>
      </c>
      <c r="D15" s="6" t="s">
        <v>235</v>
      </c>
    </row>
    <row r="16" customFormat="false" ht="15" hidden="false" customHeight="false" outlineLevel="0" collapsed="false">
      <c r="A16" s="6" t="s">
        <v>236</v>
      </c>
      <c r="B16" s="33" t="n">
        <f aca="false">B9/('Control Panel &amp; Inputs'!$C$27*'Control Panel &amp; Inputs'!$C$26*B14)*60</f>
        <v>10990.7956121548</v>
      </c>
      <c r="C16" s="6" t="s">
        <v>234</v>
      </c>
      <c r="D16" s="6" t="s">
        <v>237</v>
      </c>
    </row>
    <row r="17" customFormat="false" ht="15" hidden="false" customHeight="false" outlineLevel="0" collapsed="false">
      <c r="A17" s="6" t="s">
        <v>238</v>
      </c>
      <c r="B17" s="33" t="n">
        <f aca="false">'Control Panel &amp; Inputs'!$C$8</f>
        <v>50</v>
      </c>
      <c r="C17" s="6" t="s">
        <v>60</v>
      </c>
      <c r="D17" s="6" t="s">
        <v>239</v>
      </c>
    </row>
    <row r="18" customFormat="false" ht="15" hidden="false" customHeight="false" outlineLevel="0" collapsed="false">
      <c r="A18" s="6" t="s">
        <v>240</v>
      </c>
      <c r="B18" s="33" t="n">
        <f aca="false">'Control Panel &amp; Inputs'!$C$9</f>
        <v>30</v>
      </c>
      <c r="C18" s="6" t="s">
        <v>60</v>
      </c>
      <c r="D18" s="6" t="s">
        <v>241</v>
      </c>
    </row>
    <row r="19" customFormat="false" ht="15" hidden="false" customHeight="false" outlineLevel="0" collapsed="false">
      <c r="A19" s="6" t="s">
        <v>242</v>
      </c>
      <c r="B19" s="33" t="n">
        <f aca="false">B13-B17</f>
        <v>5</v>
      </c>
      <c r="C19" s="6" t="s">
        <v>243</v>
      </c>
      <c r="D19" s="6" t="s">
        <v>244</v>
      </c>
    </row>
    <row r="20" customFormat="false" ht="15" hidden="false" customHeight="false" outlineLevel="0" collapsed="false">
      <c r="A20" s="6" t="s">
        <v>245</v>
      </c>
      <c r="B20" s="33" t="n">
        <f aca="false">B9*'Control Panel &amp; Inputs'!$C$22</f>
        <v>363.2</v>
      </c>
      <c r="C20" s="6" t="s">
        <v>213</v>
      </c>
      <c r="D20" s="6" t="s">
        <v>246</v>
      </c>
    </row>
    <row r="21" customFormat="false" ht="15" hidden="false" customHeight="false" outlineLevel="0" collapsed="false">
      <c r="A21" s="6" t="s">
        <v>247</v>
      </c>
      <c r="B21" s="33" t="n">
        <f aca="false">B10*'Control Panel &amp; Inputs'!$C$23</f>
        <v>280</v>
      </c>
      <c r="C21" s="6" t="s">
        <v>213</v>
      </c>
      <c r="D21" s="6" t="s">
        <v>248</v>
      </c>
    </row>
    <row r="22" customFormat="false" ht="15" hidden="false" customHeight="false" outlineLevel="0" collapsed="false">
      <c r="A22" s="6" t="s">
        <v>249</v>
      </c>
      <c r="B22" s="33" t="n">
        <f aca="false">B20+B21</f>
        <v>643.2</v>
      </c>
      <c r="C22" s="6" t="s">
        <v>213</v>
      </c>
      <c r="D22" s="6" t="s">
        <v>250</v>
      </c>
    </row>
    <row r="23" customFormat="false" ht="15" hidden="false" customHeight="false" outlineLevel="0" collapsed="false">
      <c r="A23" s="6" t="s">
        <v>251</v>
      </c>
      <c r="B23" s="35" t="n">
        <f aca="false">B22/B8</f>
        <v>0.0778315585672798</v>
      </c>
      <c r="C23" s="6"/>
      <c r="D23" s="6" t="s">
        <v>252</v>
      </c>
    </row>
    <row r="24" customFormat="false" ht="15" hidden="false" customHeight="false" outlineLevel="0" collapsed="false">
      <c r="A24" s="6" t="s">
        <v>253</v>
      </c>
      <c r="B24" s="35" t="n">
        <f aca="false">'Control Panel &amp; Inputs'!$C$7</f>
        <v>0.26</v>
      </c>
      <c r="C24" s="6"/>
      <c r="D24" s="6" t="s">
        <v>254</v>
      </c>
    </row>
    <row r="25" customFormat="false" ht="15" hidden="false" customHeight="false" outlineLevel="0" collapsed="false">
      <c r="A25" s="6" t="s">
        <v>255</v>
      </c>
      <c r="B25" s="36" t="n">
        <f aca="false">(B24-B23)/B24</f>
        <v>0.700647851664309</v>
      </c>
      <c r="C25" s="6" t="s">
        <v>7</v>
      </c>
      <c r="D25" s="6" t="s">
        <v>256</v>
      </c>
    </row>
    <row r="26" customFormat="false" ht="15" hidden="false" customHeight="false" outlineLevel="0" collapsed="false">
      <c r="A26" s="6" t="s">
        <v>257</v>
      </c>
      <c r="B26" s="33" t="n">
        <f aca="false">B8*'Control Panel &amp; Inputs'!$C$29*'Control Panel &amp; Inputs'!$C$30</f>
        <v>6989.278</v>
      </c>
      <c r="C26" s="6" t="s">
        <v>213</v>
      </c>
      <c r="D26" s="6" t="s">
        <v>258</v>
      </c>
    </row>
    <row r="27" customFormat="false" ht="15" hidden="false" customHeight="false" outlineLevel="0" collapsed="false">
      <c r="A27" s="6" t="s">
        <v>259</v>
      </c>
      <c r="B27" s="35" t="n">
        <f aca="false">'Control Panel &amp; Inputs'!$C$28</f>
        <v>1.08</v>
      </c>
      <c r="C27" s="6"/>
      <c r="D27" s="6" t="s">
        <v>260</v>
      </c>
    </row>
    <row r="28" customFormat="false" ht="15" hidden="false" customHeight="false" outlineLevel="0" collapsed="false">
      <c r="A28" s="6" t="s">
        <v>24</v>
      </c>
      <c r="B28" s="34" t="n">
        <f aca="false">B26*8760*B27/1000</f>
        <v>66124.1613024</v>
      </c>
      <c r="C28" s="6" t="s">
        <v>25</v>
      </c>
      <c r="D28" s="6" t="s">
        <v>261</v>
      </c>
    </row>
    <row r="29" customFormat="false" ht="15" hidden="false" customHeight="false" outlineLevel="0" collapsed="false">
      <c r="A29" s="6" t="s">
        <v>28</v>
      </c>
      <c r="B29" s="34" t="n">
        <f aca="false">B28*'Control Panel &amp; Inputs'!$C$11</f>
        <v>9918.62419536</v>
      </c>
      <c r="C29" s="6" t="s">
        <v>29</v>
      </c>
      <c r="D29" s="6" t="s">
        <v>262</v>
      </c>
    </row>
    <row r="30" customFormat="false" ht="15" hidden="false" customHeight="false" outlineLevel="0" collapsed="false">
      <c r="A30" s="6" t="s">
        <v>26</v>
      </c>
      <c r="B30" s="34" t="n">
        <f aca="false">B28*'Control Panel &amp; Inputs'!$C$10</f>
        <v>25788.422907936</v>
      </c>
      <c r="C30" s="6" t="s">
        <v>27</v>
      </c>
      <c r="D30" s="6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</row>
    <row r="5" customFormat="false" ht="15" hidden="false" customHeight="false" outlineLevel="0" collapsed="false">
      <c r="A5" s="37" t="s">
        <v>273</v>
      </c>
      <c r="B5" s="38" t="n">
        <v>0</v>
      </c>
      <c r="C5" s="38" t="n">
        <f aca="false">'Control Panel &amp; Inputs'!$C$49</f>
        <v>0.9</v>
      </c>
      <c r="D5" s="38" t="n">
        <v>1</v>
      </c>
      <c r="E5" s="38" t="n">
        <v>1</v>
      </c>
      <c r="F5" s="38" t="n">
        <v>1</v>
      </c>
      <c r="G5" s="38" t="n">
        <v>1</v>
      </c>
    </row>
    <row r="6" customFormat="false" ht="15" hidden="false" customHeight="false" outlineLevel="0" collapsed="false">
      <c r="A6" s="37" t="s">
        <v>274</v>
      </c>
      <c r="B6" s="39" t="n">
        <v>0</v>
      </c>
      <c r="C6" s="39" t="n">
        <f aca="false">'Control Panel &amp; Inputs'!$C$47*POWER(1+'Control Panel &amp; Inputs'!$C$50,0)*C5</f>
        <v>52920000</v>
      </c>
      <c r="D6" s="39" t="n">
        <f aca="false">'Control Panel &amp; Inputs'!$C$47*POWER(1+'Control Panel &amp; Inputs'!$C$50,1)*D5</f>
        <v>58800000</v>
      </c>
      <c r="E6" s="39" t="n">
        <f aca="false">'Control Panel &amp; Inputs'!$C$47*POWER(1+'Control Panel &amp; Inputs'!$C$50,2)*E5</f>
        <v>58800000</v>
      </c>
      <c r="F6" s="39" t="n">
        <f aca="false">'Control Panel &amp; Inputs'!$C$47*POWER(1+'Control Panel &amp; Inputs'!$C$50,3)*F5</f>
        <v>58800000</v>
      </c>
      <c r="G6" s="39" t="n">
        <f aca="false">'Control Panel &amp; Inputs'!$C$47*POWER(1+'Control Panel &amp; Inputs'!$C$50,4)*G5</f>
        <v>58800000</v>
      </c>
    </row>
    <row r="7" customFormat="false" ht="15" hidden="false" customHeight="false" outlineLevel="0" collapsed="false">
      <c r="A7" s="37" t="s">
        <v>275</v>
      </c>
      <c r="B7" s="39" t="n">
        <v>0</v>
      </c>
      <c r="C7" s="39" t="n">
        <f aca="false">'Control Panel &amp; Inputs'!$C$48*POWER((1+'Control Panel &amp; Inputs'!$C$52)*(1-'Control Panel &amp; Inputs'!$C$51),0)*C5</f>
        <v>22680000</v>
      </c>
      <c r="D7" s="39" t="n">
        <f aca="false">'Control Panel &amp; Inputs'!$C$48*POWER((1+'Control Panel &amp; Inputs'!$C$52)*(1-'Control Panel &amp; Inputs'!$C$51),1)*D5</f>
        <v>26775000</v>
      </c>
      <c r="E7" s="39" t="n">
        <f aca="false">'Control Panel &amp; Inputs'!$C$48*POWER((1+'Control Panel &amp; Inputs'!$C$52)*(1-'Control Panel &amp; Inputs'!$C$51),2)*E5</f>
        <v>28448437.5</v>
      </c>
      <c r="F7" s="39" t="n">
        <f aca="false">'Control Panel &amp; Inputs'!$C$48*POWER((1+'Control Panel &amp; Inputs'!$C$52)*(1-'Control Panel &amp; Inputs'!$C$51),3)*F5</f>
        <v>30226464.84375</v>
      </c>
      <c r="G7" s="39" t="n">
        <f aca="false">'Control Panel &amp; Inputs'!$C$48*POWER((1+'Control Panel &amp; Inputs'!$C$52)*(1-'Control Panel &amp; Inputs'!$C$51),4)*G5</f>
        <v>32115618.8964844</v>
      </c>
    </row>
    <row r="8" customFormat="false" ht="15" hidden="false" customHeight="false" outlineLevel="0" collapsed="false">
      <c r="A8" s="37" t="s">
        <v>276</v>
      </c>
      <c r="B8" s="39" t="n">
        <v>0</v>
      </c>
      <c r="C8" s="39" t="n">
        <f aca="false">C6+C7</f>
        <v>75600000</v>
      </c>
      <c r="D8" s="39" t="n">
        <f aca="false">D6+D7</f>
        <v>85575000</v>
      </c>
      <c r="E8" s="39" t="n">
        <f aca="false">E6+E7</f>
        <v>87248437.5</v>
      </c>
      <c r="F8" s="39" t="n">
        <f aca="false">F6+F7</f>
        <v>89026464.84375</v>
      </c>
      <c r="G8" s="39" t="n">
        <f aca="false">G6+G7</f>
        <v>90915618.8964844</v>
      </c>
    </row>
    <row r="9" customFormat="false" ht="15" hidden="false" customHeight="false" outlineLevel="0" collapsed="false">
      <c r="A9" s="37" t="s">
        <v>277</v>
      </c>
      <c r="B9" s="40" t="n">
        <v>0</v>
      </c>
      <c r="C9" s="40" t="n">
        <f aca="false">'Control Panel &amp; Inputs'!$C$33*POWER(1+'Control Panel &amp; Inputs'!$C$34,0)</f>
        <v>0.06</v>
      </c>
      <c r="D9" s="40" t="n">
        <f aca="false">'Control Panel &amp; Inputs'!$C$33*POWER(1+'Control Panel &amp; Inputs'!$C$34,1)</f>
        <v>0.0612</v>
      </c>
      <c r="E9" s="40" t="n">
        <f aca="false">'Control Panel &amp; Inputs'!$C$33*POWER(1+'Control Panel &amp; Inputs'!$C$34,2)</f>
        <v>0.062424</v>
      </c>
      <c r="F9" s="40" t="n">
        <f aca="false">'Control Panel &amp; Inputs'!$C$33*POWER(1+'Control Panel &amp; Inputs'!$C$34,3)</f>
        <v>0.06367248</v>
      </c>
      <c r="G9" s="40" t="n">
        <f aca="false">'Control Panel &amp; Inputs'!$C$33*POWER(1+'Control Panel &amp; Inputs'!$C$34,4)</f>
        <v>0.0649459296</v>
      </c>
    </row>
    <row r="10" customFormat="false" ht="15" hidden="false" customHeight="false" outlineLevel="0" collapsed="false">
      <c r="A10" s="37" t="s">
        <v>278</v>
      </c>
      <c r="B10" s="41" t="n">
        <v>0</v>
      </c>
      <c r="C10" s="41" t="n">
        <f aca="false">'Thermal Hydraulics &amp; MLC'!$B$28*1000</f>
        <v>66124161.3024</v>
      </c>
      <c r="D10" s="41" t="n">
        <f aca="false">'Thermal Hydraulics &amp; MLC'!$B$28*1000</f>
        <v>66124161.3024</v>
      </c>
      <c r="E10" s="41" t="n">
        <f aca="false">'Thermal Hydraulics &amp; MLC'!$B$28*1000</f>
        <v>66124161.3024</v>
      </c>
      <c r="F10" s="41" t="n">
        <f aca="false">'Thermal Hydraulics &amp; MLC'!$B$28*1000</f>
        <v>66124161.3024</v>
      </c>
      <c r="G10" s="41" t="n">
        <f aca="false">'Thermal Hydraulics &amp; MLC'!$B$28*1000</f>
        <v>66124161.3024</v>
      </c>
    </row>
    <row r="11" customFormat="false" ht="15" hidden="false" customHeight="false" outlineLevel="0" collapsed="false">
      <c r="A11" s="37" t="s">
        <v>279</v>
      </c>
      <c r="B11" s="39" t="n">
        <v>0</v>
      </c>
      <c r="C11" s="39" t="n">
        <f aca="false">C10*C9</f>
        <v>3967449.678144</v>
      </c>
      <c r="D11" s="39" t="n">
        <f aca="false">D10*D9</f>
        <v>4046798.67170688</v>
      </c>
      <c r="E11" s="39" t="n">
        <f aca="false">E10*E9</f>
        <v>4127734.64514102</v>
      </c>
      <c r="F11" s="39" t="n">
        <f aca="false">F10*F9</f>
        <v>4210289.33804384</v>
      </c>
      <c r="G11" s="39" t="n">
        <f aca="false">G10*G9</f>
        <v>4294495.12480471</v>
      </c>
    </row>
    <row r="12" customFormat="false" ht="15" hidden="false" customHeight="false" outlineLevel="0" collapsed="false">
      <c r="A12" s="37" t="s">
        <v>280</v>
      </c>
      <c r="B12" s="39" t="n">
        <v>0</v>
      </c>
      <c r="C12" s="39" t="n">
        <f aca="false">'Control Panel &amp; Inputs'!$C$45*POWER(1+'Control Panel &amp; Inputs'!$C$46,0)</f>
        <v>10877000</v>
      </c>
      <c r="D12" s="39" t="n">
        <f aca="false">'Control Panel &amp; Inputs'!$C$45*POWER(1+'Control Panel &amp; Inputs'!$C$46,1)</f>
        <v>11203310</v>
      </c>
      <c r="E12" s="39" t="n">
        <f aca="false">'Control Panel &amp; Inputs'!$C$45*POWER(1+'Control Panel &amp; Inputs'!$C$46,2)</f>
        <v>11539409.3</v>
      </c>
      <c r="F12" s="39" t="n">
        <f aca="false">'Control Panel &amp; Inputs'!$C$45*POWER(1+'Control Panel &amp; Inputs'!$C$46,3)</f>
        <v>11885591.579</v>
      </c>
      <c r="G12" s="39" t="n">
        <f aca="false">'Control Panel &amp; Inputs'!$C$45*POWER(1+'Control Panel &amp; Inputs'!$C$46,4)</f>
        <v>12242159.32637</v>
      </c>
    </row>
    <row r="13" customFormat="false" ht="15" hidden="false" customHeight="false" outlineLevel="0" collapsed="false">
      <c r="A13" s="37" t="s">
        <v>281</v>
      </c>
      <c r="B13" s="39" t="n">
        <v>0</v>
      </c>
      <c r="C13" s="39" t="n">
        <f aca="false">C11+C12</f>
        <v>14844449.678144</v>
      </c>
      <c r="D13" s="39" t="n">
        <f aca="false">D11+D12</f>
        <v>15250108.6717069</v>
      </c>
      <c r="E13" s="39" t="n">
        <f aca="false">E11+E12</f>
        <v>15667143.945141</v>
      </c>
      <c r="F13" s="39" t="n">
        <f aca="false">F11+F12</f>
        <v>16095880.9170438</v>
      </c>
      <c r="G13" s="39" t="n">
        <f aca="false">G11+G12</f>
        <v>16536654.4511747</v>
      </c>
    </row>
    <row r="14" customFormat="false" ht="15" hidden="false" customHeight="false" outlineLevel="0" collapsed="false">
      <c r="A14" s="37" t="s">
        <v>282</v>
      </c>
      <c r="B14" s="39" t="n">
        <v>0</v>
      </c>
      <c r="C14" s="39" t="n">
        <f aca="false">C8-C13</f>
        <v>60755550.321856</v>
      </c>
      <c r="D14" s="39" t="n">
        <f aca="false">D8-D13</f>
        <v>70324891.3282931</v>
      </c>
      <c r="E14" s="39" t="n">
        <f aca="false">E8-E13</f>
        <v>71581293.554859</v>
      </c>
      <c r="F14" s="39" t="n">
        <f aca="false">F8-F13</f>
        <v>72930583.9267062</v>
      </c>
      <c r="G14" s="39" t="n">
        <f aca="false">G8-G13</f>
        <v>74378964.4453097</v>
      </c>
    </row>
    <row r="15" customFormat="false" ht="15" hidden="false" customHeight="false" outlineLevel="0" collapsed="false">
      <c r="A15" s="37" t="s">
        <v>283</v>
      </c>
      <c r="B15" s="38" t="n">
        <v>0</v>
      </c>
      <c r="C15" s="38" t="n">
        <f aca="false">C14/C8</f>
        <v>0.803644845527196</v>
      </c>
      <c r="D15" s="38" t="n">
        <f aca="false">D14/D8</f>
        <v>0.821792478273948</v>
      </c>
      <c r="E15" s="38" t="n">
        <f aca="false">E14/E8</f>
        <v>0.820430664501688</v>
      </c>
      <c r="F15" s="38" t="n">
        <f aca="false">F14/F8</f>
        <v>0.819201167368673</v>
      </c>
      <c r="G15" s="38" t="n">
        <f aca="false">G14/G8</f>
        <v>0.818109862178872</v>
      </c>
    </row>
    <row r="16" customFormat="false" ht="15" hidden="false" customHeight="false" outlineLevel="0" collapsed="false">
      <c r="A16" s="37" t="s">
        <v>284</v>
      </c>
      <c r="B16" s="39" t="n">
        <f aca="false">'Control Panel &amp; Inputs'!$C$35</f>
        <v>328000000</v>
      </c>
      <c r="C16" s="39" t="n">
        <v>0</v>
      </c>
      <c r="D16" s="39" t="n">
        <v>0</v>
      </c>
      <c r="E16" s="39" t="n">
        <v>0</v>
      </c>
      <c r="F16" s="39" t="n">
        <v>0</v>
      </c>
      <c r="G16" s="39" t="n">
        <v>0</v>
      </c>
    </row>
    <row r="17" customFormat="false" ht="15" hidden="false" customHeight="false" outlineLevel="0" collapsed="false">
      <c r="A17" s="37" t="s">
        <v>285</v>
      </c>
      <c r="B17" s="39" t="n">
        <f aca="false">B16*'Control Panel &amp; Inputs'!$C$37</f>
        <v>262400000</v>
      </c>
      <c r="C17" s="39" t="n">
        <v>0</v>
      </c>
      <c r="D17" s="39" t="n">
        <v>0</v>
      </c>
      <c r="E17" s="39" t="n">
        <v>0</v>
      </c>
      <c r="F17" s="39" t="n">
        <v>0</v>
      </c>
      <c r="G17" s="39" t="n">
        <v>0</v>
      </c>
    </row>
    <row r="18" customFormat="false" ht="15" hidden="false" customHeight="false" outlineLevel="0" collapsed="false">
      <c r="A18" s="37" t="s">
        <v>286</v>
      </c>
      <c r="B18" s="39" t="n">
        <f aca="false">B16-B17</f>
        <v>65600000</v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0</v>
      </c>
    </row>
    <row r="19" customFormat="false" ht="15" hidden="false" customHeight="false" outlineLevel="0" collapsed="false">
      <c r="A19" s="37" t="s">
        <v>287</v>
      </c>
      <c r="B19" s="39" t="n">
        <v>0</v>
      </c>
      <c r="C19" s="39" t="n">
        <f aca="false">B17</f>
        <v>262400000</v>
      </c>
      <c r="D19" s="39" t="n">
        <f aca="false">C23</f>
        <v>216313497.33442</v>
      </c>
      <c r="E19" s="39" t="n">
        <f aca="false">D23</f>
        <v>167231371.995576</v>
      </c>
      <c r="F19" s="39" t="n">
        <f aca="false">E23</f>
        <v>114958908.509708</v>
      </c>
      <c r="G19" s="39" t="n">
        <f aca="false">F23</f>
        <v>59288734.8972587</v>
      </c>
    </row>
    <row r="20" customFormat="false" ht="15" hidden="false" customHeight="false" outlineLevel="0" collapsed="false">
      <c r="A20" s="37" t="s">
        <v>288</v>
      </c>
      <c r="B20" s="39" t="n">
        <v>0</v>
      </c>
      <c r="C20" s="39" t="n">
        <f aca="false">IF(1&lt;='Control Panel &amp; Inputs'!$C$39,-PMT('Control Panel &amp; Inputs'!$C$38,'Control Panel &amp; Inputs'!$C$39,B17),0)</f>
        <v>63142502.6655805</v>
      </c>
      <c r="D20" s="39" t="n">
        <f aca="false">IF(2&lt;='Control Panel &amp; Inputs'!$C$39,-PMT('Control Panel &amp; Inputs'!$C$38,'Control Panel &amp; Inputs'!$C$39,B17),0)</f>
        <v>63142502.6655805</v>
      </c>
      <c r="E20" s="39" t="n">
        <f aca="false">IF(3&lt;='Control Panel &amp; Inputs'!$C$39,-PMT('Control Panel &amp; Inputs'!$C$38,'Control Panel &amp; Inputs'!$C$39,B17),0)</f>
        <v>63142502.6655805</v>
      </c>
      <c r="F20" s="39" t="n">
        <f aca="false">IF(4&lt;='Control Panel &amp; Inputs'!$C$39,-PMT('Control Panel &amp; Inputs'!$C$38,'Control Panel &amp; Inputs'!$C$39,B17),0)</f>
        <v>63142502.6655805</v>
      </c>
      <c r="G20" s="39" t="n">
        <f aca="false">IF(5&lt;='Control Panel &amp; Inputs'!$C$39,-PMT('Control Panel &amp; Inputs'!$C$38,'Control Panel &amp; Inputs'!$C$39,B17),0)</f>
        <v>63142502.6655805</v>
      </c>
    </row>
    <row r="21" customFormat="false" ht="15" hidden="false" customHeight="false" outlineLevel="0" collapsed="false">
      <c r="A21" s="37" t="s">
        <v>289</v>
      </c>
      <c r="B21" s="39" t="n">
        <v>0</v>
      </c>
      <c r="C21" s="39" t="n">
        <f aca="false">C19*'Control Panel &amp; Inputs'!$C$38</f>
        <v>17056000</v>
      </c>
      <c r="D21" s="39" t="n">
        <f aca="false">D19*'Control Panel &amp; Inputs'!$C$38</f>
        <v>14060377.3267373</v>
      </c>
      <c r="E21" s="39" t="n">
        <f aca="false">E19*'Control Panel &amp; Inputs'!$C$38</f>
        <v>10870039.1797125</v>
      </c>
      <c r="F21" s="39" t="n">
        <f aca="false">F19*'Control Panel &amp; Inputs'!$C$38</f>
        <v>7472329.05313103</v>
      </c>
      <c r="G21" s="39" t="n">
        <f aca="false">G19*'Control Panel &amp; Inputs'!$C$38</f>
        <v>3853767.76832181</v>
      </c>
    </row>
    <row r="22" customFormat="false" ht="15" hidden="false" customHeight="false" outlineLevel="0" collapsed="false">
      <c r="A22" s="37" t="s">
        <v>290</v>
      </c>
      <c r="B22" s="39" t="n">
        <v>0</v>
      </c>
      <c r="C22" s="39" t="n">
        <f aca="false">C20-C21</f>
        <v>46086502.6655805</v>
      </c>
      <c r="D22" s="39" t="n">
        <f aca="false">D20-D21</f>
        <v>49082125.3388433</v>
      </c>
      <c r="E22" s="39" t="n">
        <f aca="false">E20-E21</f>
        <v>52272463.4858681</v>
      </c>
      <c r="F22" s="39" t="n">
        <f aca="false">F20-F21</f>
        <v>55670173.6124495</v>
      </c>
      <c r="G22" s="39" t="n">
        <f aca="false">G20-G21</f>
        <v>59288734.8972587</v>
      </c>
    </row>
    <row r="23" customFormat="false" ht="15" hidden="false" customHeight="false" outlineLevel="0" collapsed="false">
      <c r="A23" s="37" t="s">
        <v>291</v>
      </c>
      <c r="B23" s="39" t="n">
        <v>0</v>
      </c>
      <c r="C23" s="39" t="n">
        <f aca="false">C19-C22</f>
        <v>216313497.33442</v>
      </c>
      <c r="D23" s="39" t="n">
        <f aca="false">D19-D22</f>
        <v>167231371.995576</v>
      </c>
      <c r="E23" s="39" t="n">
        <f aca="false">E19-E22</f>
        <v>114958908.509708</v>
      </c>
      <c r="F23" s="39" t="n">
        <f aca="false">F19-F22</f>
        <v>59288734.8972587</v>
      </c>
      <c r="G23" s="39" t="n">
        <f aca="false">G19-G22</f>
        <v>0</v>
      </c>
    </row>
    <row r="24" customFormat="false" ht="15" hidden="false" customHeight="false" outlineLevel="0" collapsed="false">
      <c r="A24" s="37" t="s">
        <v>292</v>
      </c>
      <c r="B24" s="39" t="n">
        <v>0</v>
      </c>
      <c r="C24" s="39" t="n">
        <f aca="false">IF(1&lt;='Control Panel &amp; Inputs'!$C$41,B16/'Control Panel &amp; Inputs'!$C$41,0)</f>
        <v>65600000</v>
      </c>
      <c r="D24" s="39" t="n">
        <f aca="false">IF(2&lt;='Control Panel &amp; Inputs'!$C$41,B16/'Control Panel &amp; Inputs'!$C$41,0)</f>
        <v>65600000</v>
      </c>
      <c r="E24" s="39" t="n">
        <f aca="false">IF(3&lt;='Control Panel &amp; Inputs'!$C$41,B16/'Control Panel &amp; Inputs'!$C$41,0)</f>
        <v>65600000</v>
      </c>
      <c r="F24" s="39" t="n">
        <f aca="false">IF(4&lt;='Control Panel &amp; Inputs'!$C$41,B16/'Control Panel &amp; Inputs'!$C$41,0)</f>
        <v>65600000</v>
      </c>
      <c r="G24" s="39" t="n">
        <f aca="false">IF(5&lt;='Control Panel &amp; Inputs'!$C$41,B16/'Control Panel &amp; Inputs'!$C$41,0)</f>
        <v>65600000</v>
      </c>
    </row>
    <row r="25" customFormat="false" ht="15" hidden="false" customHeight="false" outlineLevel="0" collapsed="false">
      <c r="A25" s="37" t="s">
        <v>293</v>
      </c>
      <c r="B25" s="39" t="n">
        <v>0</v>
      </c>
      <c r="C25" s="39" t="n">
        <f aca="false">MIN(C21,'Control Panel &amp; Inputs'!$C$43*C14)</f>
        <v>17056000</v>
      </c>
      <c r="D25" s="39" t="n">
        <f aca="false">MIN(D21,'Control Panel &amp; Inputs'!$C$43*D14)</f>
        <v>14060377.3267373</v>
      </c>
      <c r="E25" s="39" t="n">
        <f aca="false">MIN(E21,'Control Panel &amp; Inputs'!$C$43*E14)</f>
        <v>10870039.1797125</v>
      </c>
      <c r="F25" s="39" t="n">
        <f aca="false">MIN(F21,'Control Panel &amp; Inputs'!$C$43*F14)</f>
        <v>7472329.05313103</v>
      </c>
      <c r="G25" s="39" t="n">
        <f aca="false">MIN(G21,'Control Panel &amp; Inputs'!$C$43*G14)</f>
        <v>3853767.76832181</v>
      </c>
    </row>
    <row r="26" customFormat="false" ht="15" hidden="false" customHeight="false" outlineLevel="0" collapsed="false">
      <c r="A26" s="37" t="s">
        <v>294</v>
      </c>
      <c r="B26" s="39" t="n">
        <v>0</v>
      </c>
      <c r="C26" s="39" t="n">
        <f aca="false">C14-C24-C25</f>
        <v>-21900449.678144</v>
      </c>
      <c r="D26" s="39" t="n">
        <f aca="false">D14-D24-D25</f>
        <v>-9335485.99844415</v>
      </c>
      <c r="E26" s="39" t="n">
        <f aca="false">E14-E24-E25</f>
        <v>-4888745.62485347</v>
      </c>
      <c r="F26" s="39" t="n">
        <f aca="false">F14-F24-F25</f>
        <v>-141745.126424866</v>
      </c>
      <c r="G26" s="39" t="n">
        <f aca="false">G14-G24-G25</f>
        <v>4925196.67698786</v>
      </c>
    </row>
    <row r="27" customFormat="false" ht="15" hidden="false" customHeight="false" outlineLevel="0" collapsed="false">
      <c r="A27" s="37" t="s">
        <v>295</v>
      </c>
      <c r="B27" s="39" t="n">
        <v>0</v>
      </c>
      <c r="C27" s="39" t="n">
        <f aca="false">MAX(0,C26)*'Control Panel &amp; Inputs'!$C$42</f>
        <v>0</v>
      </c>
      <c r="D27" s="39" t="n">
        <f aca="false">MAX(0,D26)*'Control Panel &amp; Inputs'!$C$42</f>
        <v>0</v>
      </c>
      <c r="E27" s="39" t="n">
        <f aca="false">MAX(0,E26)*'Control Panel &amp; Inputs'!$C$42</f>
        <v>0</v>
      </c>
      <c r="F27" s="39" t="n">
        <f aca="false">MAX(0,F26)*'Control Panel &amp; Inputs'!$C$42</f>
        <v>0</v>
      </c>
      <c r="G27" s="39" t="n">
        <f aca="false">MAX(0,G26)*'Control Panel &amp; Inputs'!$C$42</f>
        <v>443267.700928907</v>
      </c>
    </row>
    <row r="28" customFormat="false" ht="15" hidden="false" customHeight="false" outlineLevel="0" collapsed="false">
      <c r="A28" s="37" t="s">
        <v>296</v>
      </c>
      <c r="B28" s="39" t="n">
        <v>0</v>
      </c>
      <c r="C28" s="39" t="n">
        <v>0</v>
      </c>
      <c r="D28" s="39" t="n">
        <v>0</v>
      </c>
      <c r="E28" s="39" t="n">
        <v>0</v>
      </c>
      <c r="F28" s="39" t="n">
        <v>0</v>
      </c>
      <c r="G28" s="39" t="n">
        <f aca="false">'Control Panel &amp; Inputs'!$C$35*'Control Panel &amp; Inputs'!$C$36</f>
        <v>32800000</v>
      </c>
    </row>
    <row r="29" customFormat="false" ht="15" hidden="false" customHeight="false" outlineLevel="0" collapsed="false">
      <c r="A29" s="42" t="s">
        <v>297</v>
      </c>
      <c r="B29" s="43" t="n">
        <f aca="false">-B18</f>
        <v>-65600000</v>
      </c>
      <c r="C29" s="43" t="n">
        <f aca="false">C14-C20-C27+C28</f>
        <v>-2386952.34372452</v>
      </c>
      <c r="D29" s="43" t="n">
        <f aca="false">D14-D20-D27+D28</f>
        <v>7182388.6627126</v>
      </c>
      <c r="E29" s="43" t="n">
        <f aca="false">E14-E20-E27+E28</f>
        <v>8438790.88927846</v>
      </c>
      <c r="F29" s="43" t="n">
        <f aca="false">F14-F20-F27+F28</f>
        <v>9788081.26112565</v>
      </c>
      <c r="G29" s="43" t="n">
        <f aca="false">G14-G20-G27+G28</f>
        <v>43593194.0788002</v>
      </c>
    </row>
    <row r="30" customFormat="false" ht="15" hidden="false" customHeight="false" outlineLevel="0" collapsed="false">
      <c r="A30" s="37" t="s">
        <v>298</v>
      </c>
      <c r="B30" s="39" t="n">
        <f aca="false">B29</f>
        <v>-65600000</v>
      </c>
      <c r="C30" s="39" t="n">
        <f aca="false">B30+C29</f>
        <v>-67986952.3437245</v>
      </c>
      <c r="D30" s="39" t="n">
        <f aca="false">C30+D29</f>
        <v>-60804563.6810119</v>
      </c>
      <c r="E30" s="39" t="n">
        <f aca="false">D30+E29</f>
        <v>-52365772.7917335</v>
      </c>
      <c r="F30" s="39" t="n">
        <f aca="false">E30+F29</f>
        <v>-42577691.5306078</v>
      </c>
      <c r="G30" s="39" t="n">
        <f aca="false">F30+G29</f>
        <v>1015502.54819243</v>
      </c>
    </row>
    <row r="31" customFormat="false" ht="15" hidden="false" customHeight="false" outlineLevel="0" collapsed="false">
      <c r="A31" s="37" t="s">
        <v>299</v>
      </c>
      <c r="B31" s="44" t="n">
        <v>0</v>
      </c>
      <c r="C31" s="44" t="n">
        <f aca="false">IF(C20=0,"",C14/C20)</f>
        <v>0.962197375096669</v>
      </c>
      <c r="D31" s="44" t="n">
        <f aca="false">IF(D20=0,"",D14/D20)</f>
        <v>1.11374887531387</v>
      </c>
      <c r="E31" s="44" t="n">
        <f aca="false">IF(E20=0,"",E14/E20)</f>
        <v>1.13364675983739</v>
      </c>
      <c r="F31" s="44" t="n">
        <f aca="false">IF(F20=0,"",F14/F20)</f>
        <v>1.15501573184335</v>
      </c>
      <c r="G31" s="44" t="n">
        <f aca="false">IF(G20=0,"",G14/G20)</f>
        <v>1.17795401362598</v>
      </c>
    </row>
    <row r="32" customFormat="false" ht="15" hidden="false" customHeight="false" outlineLevel="0" collapsed="false">
      <c r="A32" s="37" t="s">
        <v>300</v>
      </c>
      <c r="B32" s="39" t="n">
        <v>0</v>
      </c>
      <c r="C32" s="39" t="n">
        <f aca="false">MAX(0,C14-C24)*'Control Panel &amp; Inputs'!$C$42</f>
        <v>0</v>
      </c>
      <c r="D32" s="39" t="n">
        <f aca="false">MAX(0,D14-D24)*'Control Panel &amp; Inputs'!$C$42</f>
        <v>425240.21954638</v>
      </c>
      <c r="E32" s="39" t="n">
        <f aca="false">MAX(0,E14-E24)*'Control Panel &amp; Inputs'!$C$42</f>
        <v>538316.419937308</v>
      </c>
      <c r="F32" s="39" t="n">
        <f aca="false">MAX(0,F14-F24)*'Control Panel &amp; Inputs'!$C$42</f>
        <v>659752.553403555</v>
      </c>
      <c r="G32" s="39" t="n">
        <f aca="false">MAX(0,G14-G24)*'Control Panel &amp; Inputs'!$C$42</f>
        <v>790106.80007787</v>
      </c>
    </row>
    <row r="33" customFormat="false" ht="15" hidden="false" customHeight="false" outlineLevel="0" collapsed="false">
      <c r="A33" s="37" t="s">
        <v>301</v>
      </c>
      <c r="B33" s="39" t="n">
        <f aca="false">-B16</f>
        <v>-328000000</v>
      </c>
      <c r="C33" s="39" t="n">
        <f aca="false">C14-C32+C28</f>
        <v>60755550.321856</v>
      </c>
      <c r="D33" s="39" t="n">
        <f aca="false">D14-D32+D28</f>
        <v>69899651.1087467</v>
      </c>
      <c r="E33" s="39" t="n">
        <f aca="false">E14-E32+E28</f>
        <v>71042977.1349217</v>
      </c>
      <c r="F33" s="39" t="n">
        <f aca="false">F14-F32+F28</f>
        <v>72270831.3733026</v>
      </c>
      <c r="G33" s="39" t="n">
        <f aca="false">G14-G32+G28</f>
        <v>106388857.645232</v>
      </c>
    </row>
    <row r="35" customFormat="false" ht="15" hidden="false" customHeight="false" outlineLevel="0" collapsed="false">
      <c r="A35" s="45" t="s">
        <v>302</v>
      </c>
    </row>
    <row r="36" customFormat="false" ht="15" hidden="false" customHeight="false" outlineLevel="0" collapsed="false">
      <c r="A36" s="4" t="s">
        <v>6</v>
      </c>
      <c r="B36" s="46" t="n">
        <f aca="false">IRR(B29:G29)</f>
        <v>0.00348283951629262</v>
      </c>
    </row>
    <row r="37" customFormat="false" ht="15" hidden="false" customHeight="false" outlineLevel="0" collapsed="false">
      <c r="A37" s="4" t="s">
        <v>9</v>
      </c>
      <c r="B37" s="46" t="n">
        <f aca="false">IRR(B33:G33)</f>
        <v>0.0473981776304923</v>
      </c>
    </row>
    <row r="38" customFormat="false" ht="15" hidden="false" customHeight="false" outlineLevel="0" collapsed="false">
      <c r="A38" s="4" t="s">
        <v>10</v>
      </c>
      <c r="B38" s="47" t="n">
        <f aca="false">B29+NPV('Control Panel &amp; Inputs'!$C$44,C29:G29)</f>
        <v>-29426161.8959998</v>
      </c>
    </row>
    <row r="39" customFormat="false" ht="15" hidden="false" customHeight="false" outlineLevel="0" collapsed="false">
      <c r="A39" s="4" t="s">
        <v>303</v>
      </c>
      <c r="B39" s="48" t="n">
        <f aca="false">SUM(C29:G29)/-B29</f>
        <v>1.01548022177123</v>
      </c>
    </row>
    <row r="40" customFormat="false" ht="15" hidden="false" customHeight="false" outlineLevel="0" collapsed="false">
      <c r="A40" s="4" t="s">
        <v>14</v>
      </c>
      <c r="B40" s="49" t="n">
        <f aca="false">IFERROR(COUNTIF(B30:G30,"&lt;0")-1+ABS(INDEX(B30:G30,COUNTIF(B30:G30,"&lt;0")))/INDEX(B29:G29,COUNTIF(B30:G30,"&lt;0")+1),"&gt;5 yrs")</f>
        <v>4.97670502082603</v>
      </c>
    </row>
    <row r="41" customFormat="false" ht="15" hidden="false" customHeight="false" outlineLevel="0" collapsed="false">
      <c r="A41" s="4" t="s">
        <v>19</v>
      </c>
      <c r="B41" s="48" t="n">
        <f aca="false">MIN(C31:G31)</f>
        <v>0.962197375096669</v>
      </c>
    </row>
    <row r="42" customFormat="false" ht="15" hidden="false" customHeight="false" outlineLevel="0" collapsed="false">
      <c r="A42" s="4" t="s">
        <v>304</v>
      </c>
      <c r="B42" s="48" t="n">
        <f aca="false">AVERAGE(C31:G31)</f>
        <v>1.10851255114345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307</v>
      </c>
    </row>
    <row r="5" customFormat="false" ht="15" hidden="false" customHeight="false" outlineLevel="0" collapsed="false">
      <c r="A5" s="6" t="s">
        <v>30</v>
      </c>
      <c r="B5" s="34" t="n">
        <f aca="false">'Control Panel &amp; Inputs'!$C$12*'Control Panel &amp; Inputs'!$C$21</f>
        <v>2304</v>
      </c>
      <c r="C5" s="6" t="s">
        <v>31</v>
      </c>
      <c r="D5" s="6" t="s">
        <v>308</v>
      </c>
    </row>
    <row r="6" customFormat="false" ht="15" hidden="false" customHeight="false" outlineLevel="0" collapsed="false">
      <c r="A6" s="6" t="s">
        <v>309</v>
      </c>
      <c r="B6" s="34" t="n">
        <f aca="false">B5*8760*'Control Panel &amp; Inputs'!$C$30</f>
        <v>20082124.8</v>
      </c>
      <c r="C6" s="6" t="s">
        <v>310</v>
      </c>
      <c r="D6" s="6" t="s">
        <v>311</v>
      </c>
    </row>
    <row r="7" customFormat="false" ht="15" hidden="false" customHeight="false" outlineLevel="0" collapsed="false">
      <c r="A7" s="6" t="s">
        <v>312</v>
      </c>
      <c r="B7" s="34" t="n">
        <f aca="false">B6*'Control Panel &amp; Inputs'!$C$29</f>
        <v>17069806.08</v>
      </c>
      <c r="C7" s="6" t="s">
        <v>310</v>
      </c>
      <c r="D7" s="6" t="s">
        <v>313</v>
      </c>
    </row>
    <row r="8" customFormat="false" ht="15" hidden="false" customHeight="false" outlineLevel="0" collapsed="false">
      <c r="A8" s="6" t="s">
        <v>35</v>
      </c>
      <c r="B8" s="50" t="n">
        <f aca="false">'Pro Forma Financials'!D$8/B7</f>
        <v>5.01323797112521</v>
      </c>
      <c r="C8" s="6" t="s">
        <v>36</v>
      </c>
      <c r="D8" s="6" t="s">
        <v>314</v>
      </c>
    </row>
    <row r="9" customFormat="false" ht="15" hidden="false" customHeight="false" outlineLevel="0" collapsed="false">
      <c r="A9" s="6" t="s">
        <v>315</v>
      </c>
      <c r="B9" s="50" t="n">
        <f aca="false">'Pro Forma Financials'!D$13/B7</f>
        <v>0.893396714657164</v>
      </c>
      <c r="C9" s="6" t="s">
        <v>36</v>
      </c>
      <c r="D9" s="6" t="s">
        <v>316</v>
      </c>
    </row>
    <row r="10" customFormat="false" ht="15" hidden="false" customHeight="false" outlineLevel="0" collapsed="false">
      <c r="A10" s="6" t="s">
        <v>317</v>
      </c>
      <c r="B10" s="50" t="n">
        <f aca="false">B8-B9</f>
        <v>4.11984125646805</v>
      </c>
      <c r="C10" s="6" t="s">
        <v>36</v>
      </c>
      <c r="D10" s="6" t="s">
        <v>318</v>
      </c>
    </row>
    <row r="11" customFormat="false" ht="15" hidden="false" customHeight="false" outlineLevel="0" collapsed="false">
      <c r="A11" s="6" t="s">
        <v>33</v>
      </c>
      <c r="B11" s="51" t="n">
        <f aca="false">'Control Panel &amp; Inputs'!$C$35/B5</f>
        <v>142361.111111111</v>
      </c>
      <c r="C11" s="6" t="s">
        <v>34</v>
      </c>
      <c r="D11" s="6" t="s">
        <v>319</v>
      </c>
    </row>
    <row r="12" customFormat="false" ht="15" hidden="false" customHeight="false" outlineLevel="0" collapsed="false">
      <c r="A12" s="6" t="s">
        <v>320</v>
      </c>
      <c r="B12" s="51" t="n">
        <f aca="false">'Control Panel &amp; Inputs'!$C$35/('Thermal Hydraulics &amp; MLC'!$B$8/1000)</f>
        <v>39690222.6524685</v>
      </c>
      <c r="C12" s="6" t="s">
        <v>321</v>
      </c>
      <c r="D12" s="6" t="s">
        <v>322</v>
      </c>
    </row>
    <row r="13" customFormat="false" ht="15" hidden="false" customHeight="false" outlineLevel="0" collapsed="false">
      <c r="A13" s="6" t="s">
        <v>323</v>
      </c>
      <c r="B13" s="51" t="n">
        <f aca="false">'Pro Forma Financials'!D$8/('Thermal Hydraulics &amp; MLC'!$B$8/1000)</f>
        <v>10355154.8886738</v>
      </c>
      <c r="C13" s="6" t="s">
        <v>324</v>
      </c>
      <c r="D13" s="6" t="s">
        <v>325</v>
      </c>
    </row>
    <row r="14" customFormat="false" ht="15" hidden="false" customHeight="false" outlineLevel="0" collapsed="false">
      <c r="A14" s="6" t="s">
        <v>326</v>
      </c>
      <c r="B14" s="33" t="n">
        <f aca="false">B5*'Control Panel &amp; Inputs'!$C$32*'Control Panel &amp; Inputs'!$C$31*3600*8760*'Control Panel &amp; Inputs'!$C$29*'Control Panel &amp; Inputs'!$C$30/1000000000000</f>
        <v>33.18370301952</v>
      </c>
      <c r="C14" s="6" t="s">
        <v>327</v>
      </c>
      <c r="D14" s="6" t="s">
        <v>328</v>
      </c>
    </row>
    <row r="15" customFormat="false" ht="15" hidden="false" customHeight="false" outlineLevel="0" collapsed="false">
      <c r="A15" s="6" t="s">
        <v>329</v>
      </c>
      <c r="B15" s="50" t="n">
        <f aca="false">'Pro Forma Financials'!D$7/(B14*1000000)</f>
        <v>0.806871975205717</v>
      </c>
      <c r="C15" s="6" t="s">
        <v>38</v>
      </c>
      <c r="D15" s="6" t="s">
        <v>330</v>
      </c>
    </row>
    <row r="16" customFormat="false" ht="15" hidden="false" customHeight="false" outlineLevel="0" collapsed="false">
      <c r="A16" s="6" t="s">
        <v>37</v>
      </c>
      <c r="B16" s="50" t="n">
        <f aca="false">'Pro Forma Financials'!D$13*'Control Panel &amp; Inputs'!$C$32/(B14*1000000)</f>
        <v>0.137869863373019</v>
      </c>
      <c r="C16" s="6" t="s">
        <v>38</v>
      </c>
      <c r="D16" s="6" t="s">
        <v>331</v>
      </c>
    </row>
    <row r="17" customFormat="false" ht="15" hidden="false" customHeight="false" outlineLevel="0" collapsed="false">
      <c r="A17" s="6" t="s">
        <v>39</v>
      </c>
      <c r="B17" s="36" t="n">
        <f aca="false">'Pro Forma Financials'!D$11/'Pro Forma Financials'!D$8</f>
        <v>0.0472894966018917</v>
      </c>
      <c r="C17" s="6" t="s">
        <v>7</v>
      </c>
      <c r="D17" s="6" t="s">
        <v>332</v>
      </c>
    </row>
    <row r="18" customFormat="false" ht="15" hidden="false" customHeight="false" outlineLevel="0" collapsed="false">
      <c r="A18" s="6" t="s">
        <v>333</v>
      </c>
      <c r="B18" s="52" t="n">
        <f aca="false">('Pro Forma Financials'!D$8-'Pro Forma Financials'!D$12)/'Pro Forma Financials'!D$10</f>
        <v>1.12472791389946</v>
      </c>
      <c r="C18" s="6" t="s">
        <v>41</v>
      </c>
      <c r="D18" s="6" t="s">
        <v>334</v>
      </c>
    </row>
    <row r="19" customFormat="false" ht="15" hidden="false" customHeight="false" outlineLevel="0" collapsed="false">
      <c r="A19" s="6" t="s">
        <v>335</v>
      </c>
      <c r="B19" s="51" t="n">
        <f aca="false">'Pro Forma Financials'!D$20+'Pro Forma Financials'!D$13</f>
        <v>78392611.3372874</v>
      </c>
      <c r="C19" s="6" t="s">
        <v>149</v>
      </c>
      <c r="D19" s="6" t="s">
        <v>336</v>
      </c>
    </row>
    <row r="20" customFormat="false" ht="15" hidden="false" customHeight="false" outlineLevel="0" collapsed="false">
      <c r="A20" s="6" t="s">
        <v>337</v>
      </c>
      <c r="B20" s="36" t="n">
        <f aca="false">1-B19/'Pro Forma Financials'!D$8</f>
        <v>0.0839309221468023</v>
      </c>
      <c r="C20" s="6" t="s">
        <v>7</v>
      </c>
      <c r="D20" s="6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4" min="2" style="0" width="18"/>
  </cols>
  <sheetData>
    <row r="1" customFormat="false" ht="19.7" hidden="false" customHeight="false" outlineLevel="0" collapsed="false">
      <c r="A1" s="1" t="s">
        <v>339</v>
      </c>
    </row>
    <row r="2" customFormat="false" ht="15" hidden="false" customHeight="false" outlineLevel="0" collapsed="false">
      <c r="A2" s="2" t="s">
        <v>340</v>
      </c>
    </row>
    <row r="4" customFormat="false" ht="15" hidden="false" customHeight="false" outlineLevel="0" collapsed="false">
      <c r="A4" s="3" t="s">
        <v>341</v>
      </c>
      <c r="B4" s="3" t="s">
        <v>342</v>
      </c>
      <c r="C4" s="3" t="s">
        <v>343</v>
      </c>
      <c r="D4" s="3" t="s">
        <v>344</v>
      </c>
      <c r="E4" s="3" t="s">
        <v>345</v>
      </c>
      <c r="F4" s="3" t="s">
        <v>346</v>
      </c>
      <c r="G4" s="3" t="s">
        <v>347</v>
      </c>
      <c r="H4" s="3" t="s">
        <v>348</v>
      </c>
      <c r="I4" s="3" t="s">
        <v>349</v>
      </c>
      <c r="J4" s="3" t="s">
        <v>350</v>
      </c>
      <c r="K4" s="3" t="s">
        <v>351</v>
      </c>
      <c r="L4" s="3" t="s">
        <v>352</v>
      </c>
      <c r="M4" s="3" t="s">
        <v>353</v>
      </c>
      <c r="N4" s="3" t="s">
        <v>354</v>
      </c>
    </row>
    <row r="5" customFormat="false" ht="15" hidden="false" customHeight="false" outlineLevel="0" collapsed="false">
      <c r="A5" s="6" t="s">
        <v>355</v>
      </c>
      <c r="B5" s="53" t="n">
        <v>0.04</v>
      </c>
      <c r="C5" s="54" t="n">
        <v>0.5</v>
      </c>
      <c r="D5" s="55" t="n">
        <f aca="false">'Control Panel &amp; Inputs'!$C$35*$C5</f>
        <v>164000000</v>
      </c>
      <c r="E5" s="55" t="n">
        <f aca="false">'Control Panel &amp; Inputs'!$C$35-$D5</f>
        <v>164000000</v>
      </c>
      <c r="F5" s="55" t="n">
        <f aca="false">-PMT('Control Panel &amp; Inputs'!$C$38,'Control Panel &amp; Inputs'!$C$39,$D5)</f>
        <v>39464064.1659878</v>
      </c>
      <c r="G5" s="55" t="n">
        <f aca="false">-$E5</f>
        <v>-164000000</v>
      </c>
      <c r="H5" s="55" t="n">
        <f aca="false">B23-IF(1&lt;='Control Panel &amp; Inputs'!$C$39,$F5,0)-MAX(0,B23-IF(1&lt;='Control Panel &amp; Inputs'!$C$41,'Control Panel &amp; Inputs'!$C$35/'Control Panel &amp; Inputs'!$C$41,0)-MIN(IF(1&lt;='Control Panel &amp; Inputs'!$C$39,-IPMT('Control Panel &amp; Inputs'!$C$38,1,'Control Panel &amp; Inputs'!$C$39,$D5),0),'Control Panel &amp; Inputs'!$C$43*B23))*'Control Panel &amp; Inputs'!$C$42</f>
        <v>22613969.3819162</v>
      </c>
      <c r="I5" s="55" t="n">
        <f aca="false">C23-IF(2&lt;='Control Panel &amp; Inputs'!$C$39,$F5,0)-MAX(0,C23-IF(2&lt;='Control Panel &amp; Inputs'!$C$41,'Control Panel &amp; Inputs'!$C$35/'Control Panel &amp; Inputs'!$C$41,0)-MIN(IF(2&lt;='Control Panel &amp; Inputs'!$C$39,-IPMT('Control Panel &amp; Inputs'!$C$38,2,'Control Panel &amp; Inputs'!$C$39,$D5),0),'Control Panel &amp; Inputs'!$C$43*C23))*'Control Panel &amp; Inputs'!$C$42</f>
        <v>32209760.0528743</v>
      </c>
      <c r="J5" s="55" t="n">
        <f aca="false">D23-IF(3&lt;='Control Panel &amp; Inputs'!$C$39,$F5,0)-MAX(0,D23-IF(3&lt;='Control Panel &amp; Inputs'!$C$41,'Control Panel &amp; Inputs'!$C$35/'Control Panel &amp; Inputs'!$C$41,0)-MIN(IF(3&lt;='Control Panel &amp; Inputs'!$C$39,-IPMT('Control Panel &amp; Inputs'!$C$38,3,'Control Panel &amp; Inputs'!$C$39,$D5),0),'Control Panel &amp; Inputs'!$C$43*D23))*'Control Panel &amp; Inputs'!$C$42</f>
        <v>33442432.1818188</v>
      </c>
      <c r="K5" s="55" t="n">
        <f aca="false">E23-IF(4&lt;='Control Panel &amp; Inputs'!$C$39,$F5,0)-MAX(0,E23-IF(4&lt;='Control Panel &amp; Inputs'!$C$41,'Control Panel &amp; Inputs'!$C$35/'Control Panel &amp; Inputs'!$C$41,0)-MIN(IF(4&lt;='Control Panel &amp; Inputs'!$C$39,-IPMT('Control Panel &amp; Inputs'!$C$38,4,'Control Panel &amp; Inputs'!$C$39,$D5),0),'Control Panel &amp; Inputs'!$C$43*E23))*'Control Panel &amp; Inputs'!$C$42</f>
        <v>34504206.81576</v>
      </c>
      <c r="L5" s="55" t="n">
        <f aca="false">F23-IF(5&lt;='Control Panel &amp; Inputs'!$C$39,$F5,0)-MAX(0,F23-IF(5&lt;='Control Panel &amp; Inputs'!$C$41,'Control Panel &amp; Inputs'!$C$35/'Control Panel &amp; Inputs'!$C$41,0)-MIN(IF(5&lt;='Control Panel &amp; Inputs'!$C$39,-IPMT('Control Panel &amp; Inputs'!$C$38,5,'Control Panel &amp; Inputs'!$C$39,$D5),0),'Control Panel &amp; Inputs'!$C$43*F23))*'Control Panel &amp; Inputs'!$C$42+'Control Panel &amp; Inputs'!$C$35*'Control Panel &amp; Inputs'!$C$36</f>
        <v>68444231.4374028</v>
      </c>
      <c r="M5" s="56" t="n">
        <f aca="false">IRR(G5:L5)</f>
        <v>0.0455581791812502</v>
      </c>
      <c r="N5" s="57" t="n">
        <f aca="false">AVERAGE(B23:F23)/$F5</f>
        <v>1.80849867816635</v>
      </c>
    </row>
    <row r="6" customFormat="false" ht="15" hidden="false" customHeight="false" outlineLevel="0" collapsed="false">
      <c r="A6" s="6" t="s">
        <v>356</v>
      </c>
      <c r="B6" s="53" t="n">
        <v>0.04</v>
      </c>
      <c r="C6" s="54" t="n">
        <v>0.6</v>
      </c>
      <c r="D6" s="55" t="n">
        <f aca="false">'Control Panel &amp; Inputs'!$C$35*$C6</f>
        <v>196800000</v>
      </c>
      <c r="E6" s="55" t="n">
        <f aca="false">'Control Panel &amp; Inputs'!$C$35-$D6</f>
        <v>131200000</v>
      </c>
      <c r="F6" s="55" t="n">
        <f aca="false">-PMT('Control Panel &amp; Inputs'!$C$38,'Control Panel &amp; Inputs'!$C$39,$D6)</f>
        <v>47356876.9991854</v>
      </c>
      <c r="G6" s="55" t="n">
        <f aca="false">-$E6</f>
        <v>-131200000</v>
      </c>
      <c r="H6" s="55" t="n">
        <f aca="false">B24-IF(1&lt;='Control Panel &amp; Inputs'!$C$39,$F6,0)-MAX(0,B24-IF(1&lt;='Control Panel &amp; Inputs'!$C$41,'Control Panel &amp; Inputs'!$C$35/'Control Panel &amp; Inputs'!$C$41,0)-MIN(IF(1&lt;='Control Panel &amp; Inputs'!$C$39,-IPMT('Control Panel &amp; Inputs'!$C$38,1,'Control Panel &amp; Inputs'!$C$39,$D6),0),'Control Panel &amp; Inputs'!$C$43*B24))*'Control Panel &amp; Inputs'!$C$42</f>
        <v>14721156.5487186</v>
      </c>
      <c r="I6" s="55" t="n">
        <f aca="false">C24-IF(2&lt;='Control Panel &amp; Inputs'!$C$39,$F6,0)-MAX(0,C24-IF(2&lt;='Control Panel &amp; Inputs'!$C$41,'Control Panel &amp; Inputs'!$C$35/'Control Panel &amp; Inputs'!$C$41,0)-MIN(IF(2&lt;='Control Panel &amp; Inputs'!$C$39,-IPMT('Control Panel &amp; Inputs'!$C$38,2,'Control Panel &amp; Inputs'!$C$39,$D6),0),'Control Panel &amp; Inputs'!$C$43*C24))*'Control Panel &amp; Inputs'!$C$42</f>
        <v>24316947.2196767</v>
      </c>
      <c r="J6" s="55" t="n">
        <f aca="false">D24-IF(3&lt;='Control Panel &amp; Inputs'!$C$39,$F6,0)-MAX(0,D24-IF(3&lt;='Control Panel &amp; Inputs'!$C$41,'Control Panel &amp; Inputs'!$C$35/'Control Panel &amp; Inputs'!$C$41,0)-MIN(IF(3&lt;='Control Panel &amp; Inputs'!$C$39,-IPMT('Control Panel &amp; Inputs'!$C$38,3,'Control Panel &amp; Inputs'!$C$39,$D6),0),'Control Panel &amp; Inputs'!$C$43*D24))*'Control Panel &amp; Inputs'!$C$42</f>
        <v>25600328.1040539</v>
      </c>
      <c r="K6" s="55" t="n">
        <f aca="false">E24-IF(4&lt;='Control Panel &amp; Inputs'!$C$39,$F6,0)-MAX(0,E24-IF(4&lt;='Control Panel &amp; Inputs'!$C$41,'Control Panel &amp; Inputs'!$C$35/'Control Panel &amp; Inputs'!$C$41,0)-MIN(IF(4&lt;='Control Panel &amp; Inputs'!$C$39,-IPMT('Control Panel &amp; Inputs'!$C$38,4,'Control Panel &amp; Inputs'!$C$39,$D6),0),'Control Panel &amp; Inputs'!$C$43*E24))*'Control Panel &amp; Inputs'!$C$42</f>
        <v>26695457.6844102</v>
      </c>
      <c r="L6" s="55" t="n">
        <f aca="false">F24-IF(5&lt;='Control Panel &amp; Inputs'!$C$39,$F6,0)-MAX(0,F24-IF(5&lt;='Control Panel &amp; Inputs'!$C$41,'Control Panel &amp; Inputs'!$C$35/'Control Panel &amp; Inputs'!$C$41,0)-MIN(IF(5&lt;='Control Panel &amp; Inputs'!$C$39,-IPMT('Control Panel &amp; Inputs'!$C$38,5,'Control Panel &amp; Inputs'!$C$39,$D6),0),'Control Panel &amp; Inputs'!$C$43*F24))*'Control Panel &amp; Inputs'!$C$42+'Control Panel &amp; Inputs'!$C$35*'Control Panel &amp; Inputs'!$C$36</f>
        <v>60594773.4915989</v>
      </c>
      <c r="M6" s="56" t="n">
        <f aca="false">IRR(G6:L6)</f>
        <v>0.0418311991063475</v>
      </c>
      <c r="N6" s="57" t="n">
        <f aca="false">AVERAGE(B24:F24)/$F6</f>
        <v>1.50708223180529</v>
      </c>
    </row>
    <row r="7" customFormat="false" ht="15" hidden="false" customHeight="false" outlineLevel="0" collapsed="false">
      <c r="A7" s="6" t="s">
        <v>357</v>
      </c>
      <c r="B7" s="53" t="n">
        <v>0.04</v>
      </c>
      <c r="C7" s="54" t="n">
        <v>0.7</v>
      </c>
      <c r="D7" s="55" t="n">
        <f aca="false">'Control Panel &amp; Inputs'!$C$35*$C7</f>
        <v>229600000</v>
      </c>
      <c r="E7" s="55" t="n">
        <f aca="false">'Control Panel &amp; Inputs'!$C$35-$D7</f>
        <v>98400000</v>
      </c>
      <c r="F7" s="55" t="n">
        <f aca="false">-PMT('Control Panel &amp; Inputs'!$C$38,'Control Panel &amp; Inputs'!$C$39,$D7)</f>
        <v>55249689.832383</v>
      </c>
      <c r="G7" s="55" t="n">
        <f aca="false">-$E7</f>
        <v>-98400000</v>
      </c>
      <c r="H7" s="55" t="n">
        <f aca="false">B25-IF(1&lt;='Control Panel &amp; Inputs'!$C$39,$F7,0)-MAX(0,B25-IF(1&lt;='Control Panel &amp; Inputs'!$C$41,'Control Panel &amp; Inputs'!$C$35/'Control Panel &amp; Inputs'!$C$41,0)-MIN(IF(1&lt;='Control Panel &amp; Inputs'!$C$39,-IPMT('Control Panel &amp; Inputs'!$C$38,1,'Control Panel &amp; Inputs'!$C$39,$D7),0),'Control Panel &amp; Inputs'!$C$43*B25))*'Control Panel &amp; Inputs'!$C$42</f>
        <v>6828343.71552104</v>
      </c>
      <c r="I7" s="55" t="n">
        <f aca="false">C25-IF(2&lt;='Control Panel &amp; Inputs'!$C$39,$F7,0)-MAX(0,C25-IF(2&lt;='Control Panel &amp; Inputs'!$C$41,'Control Panel &amp; Inputs'!$C$35/'Control Panel &amp; Inputs'!$C$41,0)-MIN(IF(2&lt;='Control Panel &amp; Inputs'!$C$39,-IPMT('Control Panel &amp; Inputs'!$C$38,2,'Control Panel &amp; Inputs'!$C$39,$D7),0),'Control Panel &amp; Inputs'!$C$43*C25))*'Control Panel &amp; Inputs'!$C$42</f>
        <v>16424134.3864791</v>
      </c>
      <c r="J7" s="55" t="n">
        <f aca="false">D25-IF(3&lt;='Control Panel &amp; Inputs'!$C$39,$F7,0)-MAX(0,D25-IF(3&lt;='Control Panel &amp; Inputs'!$C$41,'Control Panel &amp; Inputs'!$C$35/'Control Panel &amp; Inputs'!$C$41,0)-MIN(IF(3&lt;='Control Panel &amp; Inputs'!$C$39,-IPMT('Control Panel &amp; Inputs'!$C$38,3,'Control Panel &amp; Inputs'!$C$39,$D7),0),'Control Panel &amp; Inputs'!$C$43*D25))*'Control Panel &amp; Inputs'!$C$42</f>
        <v>17707515.2708564</v>
      </c>
      <c r="K7" s="55" t="n">
        <f aca="false">E25-IF(4&lt;='Control Panel &amp; Inputs'!$C$39,$F7,0)-MAX(0,E25-IF(4&lt;='Control Panel &amp; Inputs'!$C$41,'Control Panel &amp; Inputs'!$C$35/'Control Panel &amp; Inputs'!$C$41,0)-MIN(IF(4&lt;='Control Panel &amp; Inputs'!$C$39,-IPMT('Control Panel &amp; Inputs'!$C$38,4,'Control Panel &amp; Inputs'!$C$39,$D7),0),'Control Panel &amp; Inputs'!$C$43*E25))*'Control Panel &amp; Inputs'!$C$42</f>
        <v>18886708.5530603</v>
      </c>
      <c r="L7" s="55" t="n">
        <f aca="false">F25-IF(5&lt;='Control Panel &amp; Inputs'!$C$39,$F7,0)-MAX(0,F25-IF(5&lt;='Control Panel &amp; Inputs'!$C$41,'Control Panel &amp; Inputs'!$C$35/'Control Panel &amp; Inputs'!$C$41,0)-MIN(IF(5&lt;='Control Panel &amp; Inputs'!$C$39,-IPMT('Control Panel &amp; Inputs'!$C$38,5,'Control Panel &amp; Inputs'!$C$39,$D7),0),'Control Panel &amp; Inputs'!$C$43*F25))*'Control Panel &amp; Inputs'!$C$42+'Control Panel &amp; Inputs'!$C$35*'Control Panel &amp; Inputs'!$C$36</f>
        <v>52745315.5457949</v>
      </c>
      <c r="M7" s="56" t="n">
        <f aca="false">IRR(G7:L7)</f>
        <v>0.036027847120873</v>
      </c>
      <c r="N7" s="57" t="n">
        <f aca="false">AVERAGE(B25:F25)/$F7</f>
        <v>1.29178477011882</v>
      </c>
    </row>
    <row r="8" customFormat="false" ht="15" hidden="false" customHeight="false" outlineLevel="0" collapsed="false">
      <c r="A8" s="6" t="s">
        <v>358</v>
      </c>
      <c r="B8" s="53" t="n">
        <v>0.04</v>
      </c>
      <c r="C8" s="54" t="n">
        <v>0.8</v>
      </c>
      <c r="D8" s="55" t="n">
        <f aca="false">'Control Panel &amp; Inputs'!$C$35*$C8</f>
        <v>262400000</v>
      </c>
      <c r="E8" s="55" t="n">
        <f aca="false">'Control Panel &amp; Inputs'!$C$35-$D8</f>
        <v>65600000</v>
      </c>
      <c r="F8" s="55" t="n">
        <f aca="false">-PMT('Control Panel &amp; Inputs'!$C$38,'Control Panel &amp; Inputs'!$C$39,$D8)</f>
        <v>63142502.6655805</v>
      </c>
      <c r="G8" s="55" t="n">
        <f aca="false">-$E8</f>
        <v>-65600000</v>
      </c>
      <c r="H8" s="55" t="n">
        <f aca="false">B26-IF(1&lt;='Control Panel &amp; Inputs'!$C$39,$F8,0)-MAX(0,B26-IF(1&lt;='Control Panel &amp; Inputs'!$C$41,'Control Panel &amp; Inputs'!$C$35/'Control Panel &amp; Inputs'!$C$41,0)-MIN(IF(1&lt;='Control Panel &amp; Inputs'!$C$39,-IPMT('Control Panel &amp; Inputs'!$C$38,1,'Control Panel &amp; Inputs'!$C$39,$D8),0),'Control Panel &amp; Inputs'!$C$43*B26))*'Control Panel &amp; Inputs'!$C$42</f>
        <v>-1064469.11767652</v>
      </c>
      <c r="I8" s="55" t="n">
        <f aca="false">C26-IF(2&lt;='Control Panel &amp; Inputs'!$C$39,$F8,0)-MAX(0,C26-IF(2&lt;='Control Panel &amp; Inputs'!$C$41,'Control Panel &amp; Inputs'!$C$35/'Control Panel &amp; Inputs'!$C$41,0)-MIN(IF(2&lt;='Control Panel &amp; Inputs'!$C$39,-IPMT('Control Panel &amp; Inputs'!$C$38,2,'Control Panel &amp; Inputs'!$C$39,$D8),0),'Control Panel &amp; Inputs'!$C$43*C26))*'Control Panel &amp; Inputs'!$C$42</f>
        <v>8531321.55328157</v>
      </c>
      <c r="J8" s="55" t="n">
        <f aca="false">D26-IF(3&lt;='Control Panel &amp; Inputs'!$C$39,$F8,0)-MAX(0,D26-IF(3&lt;='Control Panel &amp; Inputs'!$C$41,'Control Panel &amp; Inputs'!$C$35/'Control Panel &amp; Inputs'!$C$41,0)-MIN(IF(3&lt;='Control Panel &amp; Inputs'!$C$39,-IPMT('Control Panel &amp; Inputs'!$C$38,3,'Control Panel &amp; Inputs'!$C$39,$D8),0),'Control Panel &amp; Inputs'!$C$43*D26))*'Control Panel &amp; Inputs'!$C$42</f>
        <v>9814702.43765881</v>
      </c>
      <c r="K8" s="55" t="n">
        <f aca="false">E26-IF(4&lt;='Control Panel &amp; Inputs'!$C$39,$F8,0)-MAX(0,E26-IF(4&lt;='Control Panel &amp; Inputs'!$C$41,'Control Panel &amp; Inputs'!$C$35/'Control Panel &amp; Inputs'!$C$41,0)-MIN(IF(4&lt;='Control Panel &amp; Inputs'!$C$39,-IPMT('Control Panel &amp; Inputs'!$C$38,4,'Control Panel &amp; Inputs'!$C$39,$D8),0),'Control Panel &amp; Inputs'!$C$43*E26))*'Control Panel &amp; Inputs'!$C$42</f>
        <v>11077959.4217105</v>
      </c>
      <c r="L8" s="55" t="n">
        <f aca="false">F26-IF(5&lt;='Control Panel &amp; Inputs'!$C$39,$F8,0)-MAX(0,F26-IF(5&lt;='Control Panel &amp; Inputs'!$C$41,'Control Panel &amp; Inputs'!$C$35/'Control Panel &amp; Inputs'!$C$41,0)-MIN(IF(5&lt;='Control Panel &amp; Inputs'!$C$39,-IPMT('Control Panel &amp; Inputs'!$C$38,5,'Control Panel &amp; Inputs'!$C$39,$D8),0),'Control Panel &amp; Inputs'!$C$43*F26))*'Control Panel &amp; Inputs'!$C$42+'Control Panel &amp; Inputs'!$C$35*'Control Panel &amp; Inputs'!$C$36</f>
        <v>44895857.599991</v>
      </c>
      <c r="M8" s="56" t="n">
        <f aca="false">IRR(G8:L8)</f>
        <v>0.0261453486370609</v>
      </c>
      <c r="N8" s="57" t="n">
        <f aca="false">AVERAGE(B26:F26)/$F8</f>
        <v>1.13031167385397</v>
      </c>
    </row>
    <row r="9" customFormat="false" ht="15" hidden="false" customHeight="false" outlineLevel="0" collapsed="false">
      <c r="A9" s="6" t="s">
        <v>359</v>
      </c>
      <c r="B9" s="53" t="n">
        <v>0.06</v>
      </c>
      <c r="C9" s="54" t="n">
        <v>0.5</v>
      </c>
      <c r="D9" s="55" t="n">
        <f aca="false">'Control Panel &amp; Inputs'!$C$35*$C9</f>
        <v>164000000</v>
      </c>
      <c r="E9" s="55" t="n">
        <f aca="false">'Control Panel &amp; Inputs'!$C$35-$D9</f>
        <v>164000000</v>
      </c>
      <c r="F9" s="55" t="n">
        <f aca="false">-PMT('Control Panel &amp; Inputs'!$C$38,'Control Panel &amp; Inputs'!$C$39,$D9)</f>
        <v>39464064.1659878</v>
      </c>
      <c r="G9" s="55" t="n">
        <f aca="false">-$E9</f>
        <v>-164000000</v>
      </c>
      <c r="H9" s="55" t="n">
        <f aca="false">B27-IF(1&lt;='Control Panel &amp; Inputs'!$C$39,$F9,0)-MAX(0,B27-IF(1&lt;='Control Panel &amp; Inputs'!$C$41,'Control Panel &amp; Inputs'!$C$35/'Control Panel &amp; Inputs'!$C$41,0)-MIN(IF(1&lt;='Control Panel &amp; Inputs'!$C$39,-IPMT('Control Panel &amp; Inputs'!$C$38,1,'Control Panel &amp; Inputs'!$C$39,$D9),0),'Control Panel &amp; Inputs'!$C$43*B27))*'Control Panel &amp; Inputs'!$C$42</f>
        <v>21291486.1558682</v>
      </c>
      <c r="I9" s="55" t="n">
        <f aca="false">C27-IF(2&lt;='Control Panel &amp; Inputs'!$C$39,$F9,0)-MAX(0,C27-IF(2&lt;='Control Panel &amp; Inputs'!$C$41,'Control Panel &amp; Inputs'!$C$35/'Control Panel &amp; Inputs'!$C$41,0)-MIN(IF(2&lt;='Control Panel &amp; Inputs'!$C$39,-IPMT('Control Panel &amp; Inputs'!$C$38,2,'Control Panel &amp; Inputs'!$C$39,$D9),0),'Control Panel &amp; Inputs'!$C$43*C27))*'Control Panel &amp; Inputs'!$C$42</f>
        <v>30860827.1623053</v>
      </c>
      <c r="J9" s="55" t="n">
        <f aca="false">D27-IF(3&lt;='Control Panel &amp; Inputs'!$C$39,$F9,0)-MAX(0,D27-IF(3&lt;='Control Panel &amp; Inputs'!$C$41,'Control Panel &amp; Inputs'!$C$35/'Control Panel &amp; Inputs'!$C$41,0)-MIN(IF(3&lt;='Control Panel &amp; Inputs'!$C$39,-IPMT('Control Panel &amp; Inputs'!$C$38,3,'Control Panel &amp; Inputs'!$C$39,$D9),0),'Control Panel &amp; Inputs'!$C$43*D27))*'Control Panel &amp; Inputs'!$C$42</f>
        <v>32117229.3888712</v>
      </c>
      <c r="K9" s="55" t="n">
        <f aca="false">E27-IF(4&lt;='Control Panel &amp; Inputs'!$C$39,$F9,0)-MAX(0,E27-IF(4&lt;='Control Panel &amp; Inputs'!$C$41,'Control Panel &amp; Inputs'!$C$35/'Control Panel &amp; Inputs'!$C$41,0)-MIN(IF(4&lt;='Control Panel &amp; Inputs'!$C$39,-IPMT('Control Panel &amp; Inputs'!$C$38,4,'Control Panel &amp; Inputs'!$C$39,$D9),0),'Control Panel &amp; Inputs'!$C$43*E27))*'Control Panel &amp; Inputs'!$C$42</f>
        <v>33227085.7165534</v>
      </c>
      <c r="L9" s="55" t="n">
        <f aca="false">F27-IF(5&lt;='Control Panel &amp; Inputs'!$C$39,$F9,0)-MAX(0,F27-IF(5&lt;='Control Panel &amp; Inputs'!$C$41,'Control Panel &amp; Inputs'!$C$35/'Control Panel &amp; Inputs'!$C$41,0)-MIN(IF(5&lt;='Control Panel &amp; Inputs'!$C$39,-IPMT('Control Panel &amp; Inputs'!$C$38,5,'Control Panel &amp; Inputs'!$C$39,$D9),0),'Control Panel &amp; Inputs'!$C$43*F27))*'Control Panel &amp; Inputs'!$C$42+'Control Panel &amp; Inputs'!$C$35*'Control Panel &amp; Inputs'!$C$36</f>
        <v>67141567.9162121</v>
      </c>
      <c r="M9" s="56" t="n">
        <f aca="false">IRR(G9:L9)</f>
        <v>0.0346975334245463</v>
      </c>
      <c r="N9" s="57" t="n">
        <f aca="false">AVERAGE(B27:F27)/$F9</f>
        <v>1.77362008182952</v>
      </c>
    </row>
    <row r="10" customFormat="false" ht="15" hidden="false" customHeight="false" outlineLevel="0" collapsed="false">
      <c r="A10" s="6" t="s">
        <v>360</v>
      </c>
      <c r="B10" s="53" t="n">
        <v>0.06</v>
      </c>
      <c r="C10" s="54" t="n">
        <v>0.6</v>
      </c>
      <c r="D10" s="55" t="n">
        <f aca="false">'Control Panel &amp; Inputs'!$C$35*$C10</f>
        <v>196800000</v>
      </c>
      <c r="E10" s="55" t="n">
        <f aca="false">'Control Panel &amp; Inputs'!$C$35-$D10</f>
        <v>131200000</v>
      </c>
      <c r="F10" s="55" t="n">
        <f aca="false">-PMT('Control Panel &amp; Inputs'!$C$38,'Control Panel &amp; Inputs'!$C$39,$D10)</f>
        <v>47356876.9991854</v>
      </c>
      <c r="G10" s="55" t="n">
        <f aca="false">-$E10</f>
        <v>-131200000</v>
      </c>
      <c r="H10" s="55" t="n">
        <f aca="false">B28-IF(1&lt;='Control Panel &amp; Inputs'!$C$39,$F10,0)-MAX(0,B28-IF(1&lt;='Control Panel &amp; Inputs'!$C$41,'Control Panel &amp; Inputs'!$C$35/'Control Panel &amp; Inputs'!$C$41,0)-MIN(IF(1&lt;='Control Panel &amp; Inputs'!$C$39,-IPMT('Control Panel &amp; Inputs'!$C$38,1,'Control Panel &amp; Inputs'!$C$39,$D10),0),'Control Panel &amp; Inputs'!$C$43*B28))*'Control Panel &amp; Inputs'!$C$42</f>
        <v>13398673.3226706</v>
      </c>
      <c r="I10" s="55" t="n">
        <f aca="false">C28-IF(2&lt;='Control Panel &amp; Inputs'!$C$39,$F10,0)-MAX(0,C28-IF(2&lt;='Control Panel &amp; Inputs'!$C$41,'Control Panel &amp; Inputs'!$C$35/'Control Panel &amp; Inputs'!$C$41,0)-MIN(IF(2&lt;='Control Panel &amp; Inputs'!$C$39,-IPMT('Control Panel &amp; Inputs'!$C$38,2,'Control Panel &amp; Inputs'!$C$39,$D10),0),'Control Panel &amp; Inputs'!$C$43*C28))*'Control Panel &amp; Inputs'!$C$42</f>
        <v>22968014.3291077</v>
      </c>
      <c r="J10" s="55" t="n">
        <f aca="false">D28-IF(3&lt;='Control Panel &amp; Inputs'!$C$39,$F10,0)-MAX(0,D28-IF(3&lt;='Control Panel &amp; Inputs'!$C$41,'Control Panel &amp; Inputs'!$C$35/'Control Panel &amp; Inputs'!$C$41,0)-MIN(IF(3&lt;='Control Panel &amp; Inputs'!$C$39,-IPMT('Control Panel &amp; Inputs'!$C$38,3,'Control Panel &amp; Inputs'!$C$39,$D10),0),'Control Panel &amp; Inputs'!$C$43*D28))*'Control Panel &amp; Inputs'!$C$42</f>
        <v>24224416.5556736</v>
      </c>
      <c r="K10" s="55" t="n">
        <f aca="false">E28-IF(4&lt;='Control Panel &amp; Inputs'!$C$39,$F10,0)-MAX(0,E28-IF(4&lt;='Control Panel &amp; Inputs'!$C$41,'Control Panel &amp; Inputs'!$C$35/'Control Panel &amp; Inputs'!$C$41,0)-MIN(IF(4&lt;='Control Panel &amp; Inputs'!$C$39,-IPMT('Control Panel &amp; Inputs'!$C$38,4,'Control Panel &amp; Inputs'!$C$39,$D10),0),'Control Panel &amp; Inputs'!$C$43*E28))*'Control Panel &amp; Inputs'!$C$42</f>
        <v>25418336.5852036</v>
      </c>
      <c r="L10" s="55" t="n">
        <f aca="false">F28-IF(5&lt;='Control Panel &amp; Inputs'!$C$39,$F10,0)-MAX(0,F28-IF(5&lt;='Control Panel &amp; Inputs'!$C$41,'Control Panel &amp; Inputs'!$C$35/'Control Panel &amp; Inputs'!$C$41,0)-MIN(IF(5&lt;='Control Panel &amp; Inputs'!$C$39,-IPMT('Control Panel &amp; Inputs'!$C$38,5,'Control Panel &amp; Inputs'!$C$39,$D10),0),'Control Panel &amp; Inputs'!$C$43*F28))*'Control Panel &amp; Inputs'!$C$42+'Control Panel &amp; Inputs'!$C$35*'Control Panel &amp; Inputs'!$C$36</f>
        <v>59292109.9704081</v>
      </c>
      <c r="M10" s="56" t="n">
        <f aca="false">IRR(G10:L10)</f>
        <v>0.0285913820637419</v>
      </c>
      <c r="N10" s="57" t="n">
        <f aca="false">AVERAGE(B28:F28)/$F10</f>
        <v>1.47801673485793</v>
      </c>
    </row>
    <row r="11" customFormat="false" ht="15" hidden="false" customHeight="false" outlineLevel="0" collapsed="false">
      <c r="A11" s="6" t="s">
        <v>361</v>
      </c>
      <c r="B11" s="53" t="n">
        <v>0.06</v>
      </c>
      <c r="C11" s="54" t="n">
        <v>0.7</v>
      </c>
      <c r="D11" s="55" t="n">
        <f aca="false">'Control Panel &amp; Inputs'!$C$35*$C11</f>
        <v>229600000</v>
      </c>
      <c r="E11" s="55" t="n">
        <f aca="false">'Control Panel &amp; Inputs'!$C$35-$D11</f>
        <v>98400000</v>
      </c>
      <c r="F11" s="55" t="n">
        <f aca="false">-PMT('Control Panel &amp; Inputs'!$C$38,'Control Panel &amp; Inputs'!$C$39,$D11)</f>
        <v>55249689.832383</v>
      </c>
      <c r="G11" s="55" t="n">
        <f aca="false">-$E11</f>
        <v>-98400000</v>
      </c>
      <c r="H11" s="55" t="n">
        <f aca="false">B29-IF(1&lt;='Control Panel &amp; Inputs'!$C$39,$F11,0)-MAX(0,B29-IF(1&lt;='Control Panel &amp; Inputs'!$C$41,'Control Panel &amp; Inputs'!$C$35/'Control Panel &amp; Inputs'!$C$41,0)-MIN(IF(1&lt;='Control Panel &amp; Inputs'!$C$39,-IPMT('Control Panel &amp; Inputs'!$C$38,1,'Control Panel &amp; Inputs'!$C$39,$D11),0),'Control Panel &amp; Inputs'!$C$43*B29))*'Control Panel &amp; Inputs'!$C$42</f>
        <v>5505860.48947304</v>
      </c>
      <c r="I11" s="55" t="n">
        <f aca="false">C29-IF(2&lt;='Control Panel &amp; Inputs'!$C$39,$F11,0)-MAX(0,C29-IF(2&lt;='Control Panel &amp; Inputs'!$C$41,'Control Panel &amp; Inputs'!$C$35/'Control Panel &amp; Inputs'!$C$41,0)-MIN(IF(2&lt;='Control Panel &amp; Inputs'!$C$39,-IPMT('Control Panel &amp; Inputs'!$C$38,2,'Control Panel &amp; Inputs'!$C$39,$D11),0),'Control Panel &amp; Inputs'!$C$43*C29))*'Control Panel &amp; Inputs'!$C$42</f>
        <v>15075201.4959102</v>
      </c>
      <c r="J11" s="55" t="n">
        <f aca="false">D29-IF(3&lt;='Control Panel &amp; Inputs'!$C$39,$F11,0)-MAX(0,D29-IF(3&lt;='Control Panel &amp; Inputs'!$C$41,'Control Panel &amp; Inputs'!$C$35/'Control Panel &amp; Inputs'!$C$41,0)-MIN(IF(3&lt;='Control Panel &amp; Inputs'!$C$39,-IPMT('Control Panel &amp; Inputs'!$C$38,3,'Control Panel &amp; Inputs'!$C$39,$D11),0),'Control Panel &amp; Inputs'!$C$43*D29))*'Control Panel &amp; Inputs'!$C$42</f>
        <v>16331603.722476</v>
      </c>
      <c r="K11" s="55" t="n">
        <f aca="false">E29-IF(4&lt;='Control Panel &amp; Inputs'!$C$39,$F11,0)-MAX(0,E29-IF(4&lt;='Control Panel &amp; Inputs'!$C$41,'Control Panel &amp; Inputs'!$C$35/'Control Panel &amp; Inputs'!$C$41,0)-MIN(IF(4&lt;='Control Panel &amp; Inputs'!$C$39,-IPMT('Control Panel &amp; Inputs'!$C$38,4,'Control Panel &amp; Inputs'!$C$39,$D11),0),'Control Panel &amp; Inputs'!$C$43*E29))*'Control Panel &amp; Inputs'!$C$42</f>
        <v>17609587.4538537</v>
      </c>
      <c r="L11" s="55" t="n">
        <f aca="false">F29-IF(5&lt;='Control Panel &amp; Inputs'!$C$39,$F11,0)-MAX(0,F29-IF(5&lt;='Control Panel &amp; Inputs'!$C$41,'Control Panel &amp; Inputs'!$C$35/'Control Panel &amp; Inputs'!$C$41,0)-MIN(IF(5&lt;='Control Panel &amp; Inputs'!$C$39,-IPMT('Control Panel &amp; Inputs'!$C$38,5,'Control Panel &amp; Inputs'!$C$39,$D11),0),'Control Panel &amp; Inputs'!$C$43*F29))*'Control Panel &amp; Inputs'!$C$42+'Control Panel &amp; Inputs'!$C$35*'Control Panel &amp; Inputs'!$C$36</f>
        <v>51442652.0246042</v>
      </c>
      <c r="M11" s="56" t="n">
        <f aca="false">IRR(G11:L11)</f>
        <v>0.0192983072718694</v>
      </c>
      <c r="N11" s="57" t="n">
        <f aca="false">AVERAGE(B29:F29)/$F11</f>
        <v>1.26687148702109</v>
      </c>
    </row>
    <row r="12" customFormat="false" ht="15" hidden="false" customHeight="false" outlineLevel="0" collapsed="false">
      <c r="A12" s="6" t="s">
        <v>362</v>
      </c>
      <c r="B12" s="53" t="n">
        <v>0.06</v>
      </c>
      <c r="C12" s="54" t="n">
        <v>0.8</v>
      </c>
      <c r="D12" s="55" t="n">
        <f aca="false">'Control Panel &amp; Inputs'!$C$35*$C12</f>
        <v>262400000</v>
      </c>
      <c r="E12" s="55" t="n">
        <f aca="false">'Control Panel &amp; Inputs'!$C$35-$D12</f>
        <v>65600000</v>
      </c>
      <c r="F12" s="55" t="n">
        <f aca="false">-PMT('Control Panel &amp; Inputs'!$C$38,'Control Panel &amp; Inputs'!$C$39,$D12)</f>
        <v>63142502.6655805</v>
      </c>
      <c r="G12" s="55" t="n">
        <f aca="false">-$E12</f>
        <v>-65600000</v>
      </c>
      <c r="H12" s="55" t="n">
        <f aca="false">B30-IF(1&lt;='Control Panel &amp; Inputs'!$C$39,$F12,0)-MAX(0,B30-IF(1&lt;='Control Panel &amp; Inputs'!$C$41,'Control Panel &amp; Inputs'!$C$35/'Control Panel &amp; Inputs'!$C$41,0)-MIN(IF(1&lt;='Control Panel &amp; Inputs'!$C$39,-IPMT('Control Panel &amp; Inputs'!$C$38,1,'Control Panel &amp; Inputs'!$C$39,$D12),0),'Control Panel &amp; Inputs'!$C$43*B30))*'Control Panel &amp; Inputs'!$C$42</f>
        <v>-2386952.34372452</v>
      </c>
      <c r="I12" s="55" t="n">
        <f aca="false">C30-IF(2&lt;='Control Panel &amp; Inputs'!$C$39,$F12,0)-MAX(0,C30-IF(2&lt;='Control Panel &amp; Inputs'!$C$41,'Control Panel &amp; Inputs'!$C$35/'Control Panel &amp; Inputs'!$C$41,0)-MIN(IF(2&lt;='Control Panel &amp; Inputs'!$C$39,-IPMT('Control Panel &amp; Inputs'!$C$38,2,'Control Panel &amp; Inputs'!$C$39,$D12),0),'Control Panel &amp; Inputs'!$C$43*C30))*'Control Panel &amp; Inputs'!$C$42</f>
        <v>7182388.6627126</v>
      </c>
      <c r="J12" s="55" t="n">
        <f aca="false">D30-IF(3&lt;='Control Panel &amp; Inputs'!$C$39,$F12,0)-MAX(0,D30-IF(3&lt;='Control Panel &amp; Inputs'!$C$41,'Control Panel &amp; Inputs'!$C$35/'Control Panel &amp; Inputs'!$C$41,0)-MIN(IF(3&lt;='Control Panel &amp; Inputs'!$C$39,-IPMT('Control Panel &amp; Inputs'!$C$38,3,'Control Panel &amp; Inputs'!$C$39,$D12),0),'Control Panel &amp; Inputs'!$C$43*D30))*'Control Panel &amp; Inputs'!$C$42</f>
        <v>8438790.88927846</v>
      </c>
      <c r="K12" s="55" t="n">
        <f aca="false">E30-IF(4&lt;='Control Panel &amp; Inputs'!$C$39,$F12,0)-MAX(0,E30-IF(4&lt;='Control Panel &amp; Inputs'!$C$41,'Control Panel &amp; Inputs'!$C$35/'Control Panel &amp; Inputs'!$C$41,0)-MIN(IF(4&lt;='Control Panel &amp; Inputs'!$C$39,-IPMT('Control Panel &amp; Inputs'!$C$38,4,'Control Panel &amp; Inputs'!$C$39,$D12),0),'Control Panel &amp; Inputs'!$C$43*E30))*'Control Panel &amp; Inputs'!$C$42</f>
        <v>9788081.26112565</v>
      </c>
      <c r="L12" s="55" t="n">
        <f aca="false">F30-IF(5&lt;='Control Panel &amp; Inputs'!$C$39,$F12,0)-MAX(0,F30-IF(5&lt;='Control Panel &amp; Inputs'!$C$41,'Control Panel &amp; Inputs'!$C$35/'Control Panel &amp; Inputs'!$C$41,0)-MIN(IF(5&lt;='Control Panel &amp; Inputs'!$C$39,-IPMT('Control Panel &amp; Inputs'!$C$38,5,'Control Panel &amp; Inputs'!$C$39,$D12),0),'Control Panel &amp; Inputs'!$C$43*F30))*'Control Panel &amp; Inputs'!$C$42+'Control Panel &amp; Inputs'!$C$35*'Control Panel &amp; Inputs'!$C$36</f>
        <v>43593194.0788002</v>
      </c>
      <c r="M12" s="56" t="n">
        <f aca="false">IRR(G12:L12)</f>
        <v>0.00348283951629246</v>
      </c>
      <c r="N12" s="57" t="n">
        <f aca="false">AVERAGE(B30:F30)/$F12</f>
        <v>1.10851255114345</v>
      </c>
    </row>
    <row r="13" customFormat="false" ht="15" hidden="false" customHeight="false" outlineLevel="0" collapsed="false">
      <c r="A13" s="6" t="s">
        <v>363</v>
      </c>
      <c r="B13" s="53" t="n">
        <v>0.08</v>
      </c>
      <c r="C13" s="54" t="n">
        <v>0.5</v>
      </c>
      <c r="D13" s="55" t="n">
        <f aca="false">'Control Panel &amp; Inputs'!$C$35*$C13</f>
        <v>164000000</v>
      </c>
      <c r="E13" s="55" t="n">
        <f aca="false">'Control Panel &amp; Inputs'!$C$35-$D13</f>
        <v>164000000</v>
      </c>
      <c r="F13" s="55" t="n">
        <f aca="false">-PMT('Control Panel &amp; Inputs'!$C$38,'Control Panel &amp; Inputs'!$C$39,$D13)</f>
        <v>39464064.1659878</v>
      </c>
      <c r="G13" s="55" t="n">
        <f aca="false">-$E13</f>
        <v>-164000000</v>
      </c>
      <c r="H13" s="55" t="n">
        <f aca="false">B31-IF(1&lt;='Control Panel &amp; Inputs'!$C$39,$F13,0)-MAX(0,B31-IF(1&lt;='Control Panel &amp; Inputs'!$C$41,'Control Panel &amp; Inputs'!$C$35/'Control Panel &amp; Inputs'!$C$41,0)-MIN(IF(1&lt;='Control Panel &amp; Inputs'!$C$39,-IPMT('Control Panel &amp; Inputs'!$C$38,1,'Control Panel &amp; Inputs'!$C$39,$D13),0),'Control Panel &amp; Inputs'!$C$43*B31))*'Control Panel &amp; Inputs'!$C$42</f>
        <v>19969002.9298202</v>
      </c>
      <c r="I13" s="55" t="n">
        <f aca="false">C31-IF(2&lt;='Control Panel &amp; Inputs'!$C$39,$F13,0)-MAX(0,C31-IF(2&lt;='Control Panel &amp; Inputs'!$C$41,'Control Panel &amp; Inputs'!$C$35/'Control Panel &amp; Inputs'!$C$41,0)-MIN(IF(2&lt;='Control Panel &amp; Inputs'!$C$39,-IPMT('Control Panel &amp; Inputs'!$C$38,2,'Control Panel &amp; Inputs'!$C$39,$D13),0),'Control Panel &amp; Inputs'!$C$43*C31))*'Control Panel &amp; Inputs'!$C$42</f>
        <v>29511894.2717363</v>
      </c>
      <c r="J13" s="55" t="n">
        <f aca="false">D31-IF(3&lt;='Control Panel &amp; Inputs'!$C$39,$F13,0)-MAX(0,D31-IF(3&lt;='Control Panel &amp; Inputs'!$C$41,'Control Panel &amp; Inputs'!$C$35/'Control Panel &amp; Inputs'!$C$41,0)-MIN(IF(3&lt;='Control Panel &amp; Inputs'!$C$39,-IPMT('Control Panel &amp; Inputs'!$C$38,3,'Control Panel &amp; Inputs'!$C$39,$D13),0),'Control Panel &amp; Inputs'!$C$43*D31))*'Control Panel &amp; Inputs'!$C$42</f>
        <v>30741317.8404908</v>
      </c>
      <c r="K13" s="55" t="n">
        <f aca="false">E31-IF(4&lt;='Control Panel &amp; Inputs'!$C$39,$F13,0)-MAX(0,E31-IF(4&lt;='Control Panel &amp; Inputs'!$C$41,'Control Panel &amp; Inputs'!$C$35/'Control Panel &amp; Inputs'!$C$41,0)-MIN(IF(4&lt;='Control Panel &amp; Inputs'!$C$39,-IPMT('Control Panel &amp; Inputs'!$C$38,4,'Control Panel &amp; Inputs'!$C$39,$D13),0),'Control Panel &amp; Inputs'!$C$43*E31))*'Control Panel &amp; Inputs'!$C$42</f>
        <v>31949964.6173468</v>
      </c>
      <c r="L13" s="55" t="n">
        <f aca="false">F31-IF(5&lt;='Control Panel &amp; Inputs'!$C$39,$F13,0)-MAX(0,F31-IF(5&lt;='Control Panel &amp; Inputs'!$C$41,'Control Panel &amp; Inputs'!$C$35/'Control Panel &amp; Inputs'!$C$41,0)-MIN(IF(5&lt;='Control Panel &amp; Inputs'!$C$39,-IPMT('Control Panel &amp; Inputs'!$C$38,5,'Control Panel &amp; Inputs'!$C$39,$D13),0),'Control Panel &amp; Inputs'!$C$43*F31))*'Control Panel &amp; Inputs'!$C$42+'Control Panel &amp; Inputs'!$C$35*'Control Panel &amp; Inputs'!$C$36</f>
        <v>65838904.3950213</v>
      </c>
      <c r="M13" s="56" t="n">
        <f aca="false">IRR(G13:L13)</f>
        <v>0.0236605946278833</v>
      </c>
      <c r="N13" s="57" t="n">
        <f aca="false">AVERAGE(B31:F31)/$F13</f>
        <v>1.7387414854927</v>
      </c>
    </row>
    <row r="14" customFormat="false" ht="15" hidden="false" customHeight="false" outlineLevel="0" collapsed="false">
      <c r="A14" s="6" t="s">
        <v>364</v>
      </c>
      <c r="B14" s="53" t="n">
        <v>0.08</v>
      </c>
      <c r="C14" s="54" t="n">
        <v>0.6</v>
      </c>
      <c r="D14" s="55" t="n">
        <f aca="false">'Control Panel &amp; Inputs'!$C$35*$C14</f>
        <v>196800000</v>
      </c>
      <c r="E14" s="55" t="n">
        <f aca="false">'Control Panel &amp; Inputs'!$C$35-$D14</f>
        <v>131200000</v>
      </c>
      <c r="F14" s="55" t="n">
        <f aca="false">-PMT('Control Panel &amp; Inputs'!$C$38,'Control Panel &amp; Inputs'!$C$39,$D14)</f>
        <v>47356876.9991854</v>
      </c>
      <c r="G14" s="55" t="n">
        <f aca="false">-$E14</f>
        <v>-131200000</v>
      </c>
      <c r="H14" s="55" t="n">
        <f aca="false">B32-IF(1&lt;='Control Panel &amp; Inputs'!$C$39,$F14,0)-MAX(0,B32-IF(1&lt;='Control Panel &amp; Inputs'!$C$41,'Control Panel &amp; Inputs'!$C$35/'Control Panel &amp; Inputs'!$C$41,0)-MIN(IF(1&lt;='Control Panel &amp; Inputs'!$C$39,-IPMT('Control Panel &amp; Inputs'!$C$38,1,'Control Panel &amp; Inputs'!$C$39,$D14),0),'Control Panel &amp; Inputs'!$C$43*B32))*'Control Panel &amp; Inputs'!$C$42</f>
        <v>12076190.0966226</v>
      </c>
      <c r="I14" s="55" t="n">
        <f aca="false">C32-IF(2&lt;='Control Panel &amp; Inputs'!$C$39,$F14,0)-MAX(0,C32-IF(2&lt;='Control Panel &amp; Inputs'!$C$41,'Control Panel &amp; Inputs'!$C$35/'Control Panel &amp; Inputs'!$C$41,0)-MIN(IF(2&lt;='Control Panel &amp; Inputs'!$C$39,-IPMT('Control Panel &amp; Inputs'!$C$38,2,'Control Panel &amp; Inputs'!$C$39,$D14),0),'Control Panel &amp; Inputs'!$C$43*C32))*'Control Panel &amp; Inputs'!$C$42</f>
        <v>21619081.4385388</v>
      </c>
      <c r="J14" s="55" t="n">
        <f aca="false">D32-IF(3&lt;='Control Panel &amp; Inputs'!$C$39,$F14,0)-MAX(0,D32-IF(3&lt;='Control Panel &amp; Inputs'!$C$41,'Control Panel &amp; Inputs'!$C$35/'Control Panel &amp; Inputs'!$C$41,0)-MIN(IF(3&lt;='Control Panel &amp; Inputs'!$C$39,-IPMT('Control Panel &amp; Inputs'!$C$38,3,'Control Panel &amp; Inputs'!$C$39,$D14),0),'Control Panel &amp; Inputs'!$C$43*D32))*'Control Panel &amp; Inputs'!$C$42</f>
        <v>22848505.0072933</v>
      </c>
      <c r="K14" s="55" t="n">
        <f aca="false">E32-IF(4&lt;='Control Panel &amp; Inputs'!$C$39,$F14,0)-MAX(0,E32-IF(4&lt;='Control Panel &amp; Inputs'!$C$41,'Control Panel &amp; Inputs'!$C$35/'Control Panel &amp; Inputs'!$C$41,0)-MIN(IF(4&lt;='Control Panel &amp; Inputs'!$C$39,-IPMT('Control Panel &amp; Inputs'!$C$38,4,'Control Panel &amp; Inputs'!$C$39,$D14),0),'Control Panel &amp; Inputs'!$C$43*E32))*'Control Panel &amp; Inputs'!$C$42</f>
        <v>24141215.4859969</v>
      </c>
      <c r="L14" s="55" t="n">
        <f aca="false">F32-IF(5&lt;='Control Panel &amp; Inputs'!$C$39,$F14,0)-MAX(0,F32-IF(5&lt;='Control Panel &amp; Inputs'!$C$41,'Control Panel &amp; Inputs'!$C$35/'Control Panel &amp; Inputs'!$C$41,0)-MIN(IF(5&lt;='Control Panel &amp; Inputs'!$C$39,-IPMT('Control Panel &amp; Inputs'!$C$38,5,'Control Panel &amp; Inputs'!$C$39,$D14),0),'Control Panel &amp; Inputs'!$C$43*F32))*'Control Panel &amp; Inputs'!$C$42+'Control Panel &amp; Inputs'!$C$35*'Control Panel &amp; Inputs'!$C$36</f>
        <v>57989446.4492174</v>
      </c>
      <c r="M14" s="56" t="n">
        <f aca="false">IRR(G14:L14)</f>
        <v>0.015228148095893</v>
      </c>
      <c r="N14" s="57" t="n">
        <f aca="false">AVERAGE(B32:F32)/$F14</f>
        <v>1.44895123791058</v>
      </c>
    </row>
    <row r="15" customFormat="false" ht="15" hidden="false" customHeight="false" outlineLevel="0" collapsed="false">
      <c r="A15" s="6" t="s">
        <v>365</v>
      </c>
      <c r="B15" s="53" t="n">
        <v>0.08</v>
      </c>
      <c r="C15" s="54" t="n">
        <v>0.7</v>
      </c>
      <c r="D15" s="55" t="n">
        <f aca="false">'Control Panel &amp; Inputs'!$C$35*$C15</f>
        <v>229600000</v>
      </c>
      <c r="E15" s="55" t="n">
        <f aca="false">'Control Panel &amp; Inputs'!$C$35-$D15</f>
        <v>98400000</v>
      </c>
      <c r="F15" s="55" t="n">
        <f aca="false">-PMT('Control Panel &amp; Inputs'!$C$38,'Control Panel &amp; Inputs'!$C$39,$D15)</f>
        <v>55249689.832383</v>
      </c>
      <c r="G15" s="55" t="n">
        <f aca="false">-$E15</f>
        <v>-98400000</v>
      </c>
      <c r="H15" s="55" t="n">
        <f aca="false">B33-IF(1&lt;='Control Panel &amp; Inputs'!$C$39,$F15,0)-MAX(0,B33-IF(1&lt;='Control Panel &amp; Inputs'!$C$41,'Control Panel &amp; Inputs'!$C$35/'Control Panel &amp; Inputs'!$C$41,0)-MIN(IF(1&lt;='Control Panel &amp; Inputs'!$C$39,-IPMT('Control Panel &amp; Inputs'!$C$38,1,'Control Panel &amp; Inputs'!$C$39,$D15),0),'Control Panel &amp; Inputs'!$C$43*B33))*'Control Panel &amp; Inputs'!$C$42</f>
        <v>4183377.26342504</v>
      </c>
      <c r="I15" s="55" t="n">
        <f aca="false">C33-IF(2&lt;='Control Panel &amp; Inputs'!$C$39,$F15,0)-MAX(0,C33-IF(2&lt;='Control Panel &amp; Inputs'!$C$41,'Control Panel &amp; Inputs'!$C$35/'Control Panel &amp; Inputs'!$C$41,0)-MIN(IF(2&lt;='Control Panel &amp; Inputs'!$C$39,-IPMT('Control Panel &amp; Inputs'!$C$38,2,'Control Panel &amp; Inputs'!$C$39,$D15),0),'Control Panel &amp; Inputs'!$C$43*C33))*'Control Panel &amp; Inputs'!$C$42</f>
        <v>13726268.6053412</v>
      </c>
      <c r="J15" s="55" t="n">
        <f aca="false">D33-IF(3&lt;='Control Panel &amp; Inputs'!$C$39,$F15,0)-MAX(0,D33-IF(3&lt;='Control Panel &amp; Inputs'!$C$41,'Control Panel &amp; Inputs'!$C$35/'Control Panel &amp; Inputs'!$C$41,0)-MIN(IF(3&lt;='Control Panel &amp; Inputs'!$C$39,-IPMT('Control Panel &amp; Inputs'!$C$38,3,'Control Panel &amp; Inputs'!$C$39,$D15),0),'Control Panel &amp; Inputs'!$C$43*D33))*'Control Panel &amp; Inputs'!$C$42</f>
        <v>14955692.1740957</v>
      </c>
      <c r="K15" s="55" t="n">
        <f aca="false">E33-IF(4&lt;='Control Panel &amp; Inputs'!$C$39,$F15,0)-MAX(0,E33-IF(4&lt;='Control Panel &amp; Inputs'!$C$41,'Control Panel &amp; Inputs'!$C$35/'Control Panel &amp; Inputs'!$C$41,0)-MIN(IF(4&lt;='Control Panel &amp; Inputs'!$C$39,-IPMT('Control Panel &amp; Inputs'!$C$38,4,'Control Panel &amp; Inputs'!$C$39,$D15),0),'Control Panel &amp; Inputs'!$C$43*E33))*'Control Panel &amp; Inputs'!$C$42</f>
        <v>16277464.3149753</v>
      </c>
      <c r="L15" s="55" t="n">
        <f aca="false">F33-IF(5&lt;='Control Panel &amp; Inputs'!$C$39,$F15,0)-MAX(0,F33-IF(5&lt;='Control Panel &amp; Inputs'!$C$41,'Control Panel &amp; Inputs'!$C$35/'Control Panel &amp; Inputs'!$C$41,0)-MIN(IF(5&lt;='Control Panel &amp; Inputs'!$C$39,-IPMT('Control Panel &amp; Inputs'!$C$38,5,'Control Panel &amp; Inputs'!$C$39,$D15),0),'Control Panel &amp; Inputs'!$C$43*F33))*'Control Panel &amp; Inputs'!$C$42+'Control Panel &amp; Inputs'!$C$35*'Control Panel &amp; Inputs'!$C$36</f>
        <v>50139988.5034134</v>
      </c>
      <c r="M15" s="56" t="n">
        <f aca="false">IRR(G15:L15)</f>
        <v>0.00226387121737398</v>
      </c>
      <c r="N15" s="57" t="n">
        <f aca="false">AVERAGE(B33:F33)/$F15</f>
        <v>1.24195820392335</v>
      </c>
    </row>
    <row r="16" customFormat="false" ht="15" hidden="false" customHeight="false" outlineLevel="0" collapsed="false">
      <c r="A16" s="6" t="s">
        <v>366</v>
      </c>
      <c r="B16" s="53" t="n">
        <v>0.08</v>
      </c>
      <c r="C16" s="54" t="n">
        <v>0.8</v>
      </c>
      <c r="D16" s="55" t="n">
        <f aca="false">'Control Panel &amp; Inputs'!$C$35*$C16</f>
        <v>262400000</v>
      </c>
      <c r="E16" s="55" t="n">
        <f aca="false">'Control Panel &amp; Inputs'!$C$35-$D16</f>
        <v>65600000</v>
      </c>
      <c r="F16" s="55" t="n">
        <f aca="false">-PMT('Control Panel &amp; Inputs'!$C$38,'Control Panel &amp; Inputs'!$C$39,$D16)</f>
        <v>63142502.6655805</v>
      </c>
      <c r="G16" s="55" t="n">
        <f aca="false">-$E16</f>
        <v>-65600000</v>
      </c>
      <c r="H16" s="55" t="n">
        <f aca="false">B34-IF(1&lt;='Control Panel &amp; Inputs'!$C$39,$F16,0)-MAX(0,B34-IF(1&lt;='Control Panel &amp; Inputs'!$C$41,'Control Panel &amp; Inputs'!$C$35/'Control Panel &amp; Inputs'!$C$41,0)-MIN(IF(1&lt;='Control Panel &amp; Inputs'!$C$39,-IPMT('Control Panel &amp; Inputs'!$C$38,1,'Control Panel &amp; Inputs'!$C$39,$D16),0),'Control Panel &amp; Inputs'!$C$43*B34))*'Control Panel &amp; Inputs'!$C$42</f>
        <v>-3709435.56977252</v>
      </c>
      <c r="I16" s="55" t="n">
        <f aca="false">C34-IF(2&lt;='Control Panel &amp; Inputs'!$C$39,$F16,0)-MAX(0,C34-IF(2&lt;='Control Panel &amp; Inputs'!$C$41,'Control Panel &amp; Inputs'!$C$35/'Control Panel &amp; Inputs'!$C$41,0)-MIN(IF(2&lt;='Control Panel &amp; Inputs'!$C$39,-IPMT('Control Panel &amp; Inputs'!$C$38,2,'Control Panel &amp; Inputs'!$C$39,$D16),0),'Control Panel &amp; Inputs'!$C$43*C34))*'Control Panel &amp; Inputs'!$C$42</f>
        <v>5833455.77214364</v>
      </c>
      <c r="J16" s="55" t="n">
        <f aca="false">D34-IF(3&lt;='Control Panel &amp; Inputs'!$C$39,$F16,0)-MAX(0,D34-IF(3&lt;='Control Panel &amp; Inputs'!$C$41,'Control Panel &amp; Inputs'!$C$35/'Control Panel &amp; Inputs'!$C$41,0)-MIN(IF(3&lt;='Control Panel &amp; Inputs'!$C$39,-IPMT('Control Panel &amp; Inputs'!$C$38,3,'Control Panel &amp; Inputs'!$C$39,$D16),0),'Control Panel &amp; Inputs'!$C$43*D34))*'Control Panel &amp; Inputs'!$C$42</f>
        <v>7062879.34089813</v>
      </c>
      <c r="K16" s="55" t="n">
        <f aca="false">E34-IF(4&lt;='Control Panel &amp; Inputs'!$C$39,$F16,0)-MAX(0,E34-IF(4&lt;='Control Panel &amp; Inputs'!$C$41,'Control Panel &amp; Inputs'!$C$35/'Control Panel &amp; Inputs'!$C$41,0)-MIN(IF(4&lt;='Control Panel &amp; Inputs'!$C$39,-IPMT('Control Panel &amp; Inputs'!$C$38,4,'Control Panel &amp; Inputs'!$C$39,$D16),0),'Control Panel &amp; Inputs'!$C$43*E34))*'Control Panel &amp; Inputs'!$C$42</f>
        <v>8384651.48177771</v>
      </c>
      <c r="L16" s="55" t="n">
        <f aca="false">F34-IF(5&lt;='Control Panel &amp; Inputs'!$C$39,$F16,0)-MAX(0,F34-IF(5&lt;='Control Panel &amp; Inputs'!$C$41,'Control Panel &amp; Inputs'!$C$35/'Control Panel &amp; Inputs'!$C$41,0)-MIN(IF(5&lt;='Control Panel &amp; Inputs'!$C$39,-IPMT('Control Panel &amp; Inputs'!$C$38,5,'Control Panel &amp; Inputs'!$C$39,$D16),0),'Control Panel &amp; Inputs'!$C$43*F34))*'Control Panel &amp; Inputs'!$C$42+'Control Panel &amp; Inputs'!$C$35*'Control Panel &amp; Inputs'!$C$36</f>
        <v>42290530.5576095</v>
      </c>
      <c r="M16" s="56" t="n">
        <f aca="false">IRR(G16:L16)</f>
        <v>-0.0197751815323907</v>
      </c>
      <c r="N16" s="57" t="n">
        <f aca="false">AVERAGE(B34:F34)/$F16</f>
        <v>1.08671342843294</v>
      </c>
    </row>
    <row r="17" customFormat="false" ht="15" hidden="false" customHeight="false" outlineLevel="0" collapsed="false">
      <c r="A17" s="6" t="s">
        <v>367</v>
      </c>
      <c r="B17" s="53" t="n">
        <v>0.1</v>
      </c>
      <c r="C17" s="54" t="n">
        <v>0.5</v>
      </c>
      <c r="D17" s="55" t="n">
        <f aca="false">'Control Panel &amp; Inputs'!$C$35*$C17</f>
        <v>164000000</v>
      </c>
      <c r="E17" s="55" t="n">
        <f aca="false">'Control Panel &amp; Inputs'!$C$35-$D17</f>
        <v>164000000</v>
      </c>
      <c r="F17" s="55" t="n">
        <f aca="false">-PMT('Control Panel &amp; Inputs'!$C$38,'Control Panel &amp; Inputs'!$C$39,$D17)</f>
        <v>39464064.1659878</v>
      </c>
      <c r="G17" s="55" t="n">
        <f aca="false">-$E17</f>
        <v>-164000000</v>
      </c>
      <c r="H17" s="55" t="n">
        <f aca="false">B35-IF(1&lt;='Control Panel &amp; Inputs'!$C$39,$F17,0)-MAX(0,B35-IF(1&lt;='Control Panel &amp; Inputs'!$C$41,'Control Panel &amp; Inputs'!$C$35/'Control Panel &amp; Inputs'!$C$41,0)-MIN(IF(1&lt;='Control Panel &amp; Inputs'!$C$39,-IPMT('Control Panel &amp; Inputs'!$C$38,1,'Control Panel &amp; Inputs'!$C$39,$D17),0),'Control Panel &amp; Inputs'!$C$43*B35))*'Control Panel &amp; Inputs'!$C$42</f>
        <v>18646519.7037722</v>
      </c>
      <c r="I17" s="55" t="n">
        <f aca="false">C35-IF(2&lt;='Control Panel &amp; Inputs'!$C$39,$F17,0)-MAX(0,C35-IF(2&lt;='Control Panel &amp; Inputs'!$C$41,'Control Panel &amp; Inputs'!$C$35/'Control Panel &amp; Inputs'!$C$41,0)-MIN(IF(2&lt;='Control Panel &amp; Inputs'!$C$39,-IPMT('Control Panel &amp; Inputs'!$C$38,2,'Control Panel &amp; Inputs'!$C$39,$D17),0),'Control Panel &amp; Inputs'!$C$43*C35))*'Control Panel &amp; Inputs'!$C$42</f>
        <v>28162961.3811674</v>
      </c>
      <c r="J17" s="55" t="n">
        <f aca="false">D35-IF(3&lt;='Control Panel &amp; Inputs'!$C$39,$F17,0)-MAX(0,D35-IF(3&lt;='Control Panel &amp; Inputs'!$C$41,'Control Panel &amp; Inputs'!$C$35/'Control Panel &amp; Inputs'!$C$41,0)-MIN(IF(3&lt;='Control Panel &amp; Inputs'!$C$39,-IPMT('Control Panel &amp; Inputs'!$C$38,3,'Control Panel &amp; Inputs'!$C$39,$D17),0),'Control Panel &amp; Inputs'!$C$43*D35))*'Control Panel &amp; Inputs'!$C$42</f>
        <v>29365406.2921105</v>
      </c>
      <c r="K17" s="55" t="n">
        <f aca="false">E35-IF(4&lt;='Control Panel &amp; Inputs'!$C$39,$F17,0)-MAX(0,E35-IF(4&lt;='Control Panel &amp; Inputs'!$C$41,'Control Panel &amp; Inputs'!$C$35/'Control Panel &amp; Inputs'!$C$41,0)-MIN(IF(4&lt;='Control Panel &amp; Inputs'!$C$39,-IPMT('Control Panel &amp; Inputs'!$C$38,4,'Control Panel &amp; Inputs'!$C$39,$D17),0),'Control Panel &amp; Inputs'!$C$43*E35))*'Control Panel &amp; Inputs'!$C$42</f>
        <v>30659660.2020225</v>
      </c>
      <c r="L17" s="55" t="n">
        <f aca="false">F35-IF(5&lt;='Control Panel &amp; Inputs'!$C$39,$F17,0)-MAX(0,F35-IF(5&lt;='Control Panel &amp; Inputs'!$C$41,'Control Panel &amp; Inputs'!$C$35/'Control Panel &amp; Inputs'!$C$41,0)-MIN(IF(5&lt;='Control Panel &amp; Inputs'!$C$39,-IPMT('Control Panel &amp; Inputs'!$C$38,5,'Control Panel &amp; Inputs'!$C$39,$D17),0),'Control Panel &amp; Inputs'!$C$43*F35))*'Control Panel &amp; Inputs'!$C$42+'Control Panel &amp; Inputs'!$C$35*'Control Panel &amp; Inputs'!$C$36</f>
        <v>64536240.8738305</v>
      </c>
      <c r="M17" s="56" t="n">
        <f aca="false">IRR(G17:L17)</f>
        <v>0.0125042874959422</v>
      </c>
      <c r="N17" s="57" t="n">
        <f aca="false">AVERAGE(B35:F35)/$F17</f>
        <v>1.70386288915587</v>
      </c>
    </row>
    <row r="18" customFormat="false" ht="15" hidden="false" customHeight="false" outlineLevel="0" collapsed="false">
      <c r="A18" s="6" t="s">
        <v>368</v>
      </c>
      <c r="B18" s="53" t="n">
        <v>0.1</v>
      </c>
      <c r="C18" s="54" t="n">
        <v>0.6</v>
      </c>
      <c r="D18" s="55" t="n">
        <f aca="false">'Control Panel &amp; Inputs'!$C$35*$C18</f>
        <v>196800000</v>
      </c>
      <c r="E18" s="55" t="n">
        <f aca="false">'Control Panel &amp; Inputs'!$C$35-$D18</f>
        <v>131200000</v>
      </c>
      <c r="F18" s="55" t="n">
        <f aca="false">-PMT('Control Panel &amp; Inputs'!$C$38,'Control Panel &amp; Inputs'!$C$39,$D18)</f>
        <v>47356876.9991854</v>
      </c>
      <c r="G18" s="55" t="n">
        <f aca="false">-$E18</f>
        <v>-131200000</v>
      </c>
      <c r="H18" s="55" t="n">
        <f aca="false">B36-IF(1&lt;='Control Panel &amp; Inputs'!$C$39,$F18,0)-MAX(0,B36-IF(1&lt;='Control Panel &amp; Inputs'!$C$41,'Control Panel &amp; Inputs'!$C$35/'Control Panel &amp; Inputs'!$C$41,0)-MIN(IF(1&lt;='Control Panel &amp; Inputs'!$C$39,-IPMT('Control Panel &amp; Inputs'!$C$38,1,'Control Panel &amp; Inputs'!$C$39,$D18),0),'Control Panel &amp; Inputs'!$C$43*B36))*'Control Panel &amp; Inputs'!$C$42</f>
        <v>10753706.8705746</v>
      </c>
      <c r="I18" s="55" t="n">
        <f aca="false">C36-IF(2&lt;='Control Panel &amp; Inputs'!$C$39,$F18,0)-MAX(0,C36-IF(2&lt;='Control Panel &amp; Inputs'!$C$41,'Control Panel &amp; Inputs'!$C$35/'Control Panel &amp; Inputs'!$C$41,0)-MIN(IF(2&lt;='Control Panel &amp; Inputs'!$C$39,-IPMT('Control Panel &amp; Inputs'!$C$38,2,'Control Panel &amp; Inputs'!$C$39,$D18),0),'Control Panel &amp; Inputs'!$C$43*C36))*'Control Panel &amp; Inputs'!$C$42</f>
        <v>20270148.5479698</v>
      </c>
      <c r="J18" s="55" t="n">
        <f aca="false">D36-IF(3&lt;='Control Panel &amp; Inputs'!$C$39,$F18,0)-MAX(0,D36-IF(3&lt;='Control Panel &amp; Inputs'!$C$41,'Control Panel &amp; Inputs'!$C$35/'Control Panel &amp; Inputs'!$C$41,0)-MIN(IF(3&lt;='Control Panel &amp; Inputs'!$C$39,-IPMT('Control Panel &amp; Inputs'!$C$38,3,'Control Panel &amp; Inputs'!$C$39,$D18),0),'Control Panel &amp; Inputs'!$C$43*D36))*'Control Panel &amp; Inputs'!$C$42</f>
        <v>21472593.4589129</v>
      </c>
      <c r="K18" s="55" t="n">
        <f aca="false">E36-IF(4&lt;='Control Panel &amp; Inputs'!$C$39,$F18,0)-MAX(0,E36-IF(4&lt;='Control Panel &amp; Inputs'!$C$41,'Control Panel &amp; Inputs'!$C$35/'Control Panel &amp; Inputs'!$C$41,0)-MIN(IF(4&lt;='Control Panel &amp; Inputs'!$C$39,-IPMT('Control Panel &amp; Inputs'!$C$38,4,'Control Panel &amp; Inputs'!$C$39,$D18),0),'Control Panel &amp; Inputs'!$C$43*E36))*'Control Panel &amp; Inputs'!$C$42</f>
        <v>22766847.3688249</v>
      </c>
      <c r="L18" s="55" t="n">
        <f aca="false">F36-IF(5&lt;='Control Panel &amp; Inputs'!$C$39,$F18,0)-MAX(0,F36-IF(5&lt;='Control Panel &amp; Inputs'!$C$41,'Control Panel &amp; Inputs'!$C$35/'Control Panel &amp; Inputs'!$C$41,0)-MIN(IF(5&lt;='Control Panel &amp; Inputs'!$C$39,-IPMT('Control Panel &amp; Inputs'!$C$38,5,'Control Panel &amp; Inputs'!$C$39,$D18),0),'Control Panel &amp; Inputs'!$C$43*F36))*'Control Panel &amp; Inputs'!$C$42+'Control Panel &amp; Inputs'!$C$35*'Control Panel &amp; Inputs'!$C$36</f>
        <v>56686782.9280266</v>
      </c>
      <c r="M18" s="56" t="n">
        <f aca="false">IRR(G18:L18)</f>
        <v>0.00153624264902171</v>
      </c>
      <c r="N18" s="57" t="n">
        <f aca="false">AVERAGE(B36:F36)/$F18</f>
        <v>1.41988574096323</v>
      </c>
    </row>
    <row r="19" customFormat="false" ht="15" hidden="false" customHeight="false" outlineLevel="0" collapsed="false">
      <c r="A19" s="6" t="s">
        <v>369</v>
      </c>
      <c r="B19" s="53" t="n">
        <v>0.1</v>
      </c>
      <c r="C19" s="54" t="n">
        <v>0.7</v>
      </c>
      <c r="D19" s="55" t="n">
        <f aca="false">'Control Panel &amp; Inputs'!$C$35*$C19</f>
        <v>229600000</v>
      </c>
      <c r="E19" s="55" t="n">
        <f aca="false">'Control Panel &amp; Inputs'!$C$35-$D19</f>
        <v>98400000</v>
      </c>
      <c r="F19" s="55" t="n">
        <f aca="false">-PMT('Control Panel &amp; Inputs'!$C$38,'Control Panel &amp; Inputs'!$C$39,$D19)</f>
        <v>55249689.832383</v>
      </c>
      <c r="G19" s="55" t="n">
        <f aca="false">-$E19</f>
        <v>-98400000</v>
      </c>
      <c r="H19" s="55" t="n">
        <f aca="false">B37-IF(1&lt;='Control Panel &amp; Inputs'!$C$39,$F19,0)-MAX(0,B37-IF(1&lt;='Control Panel &amp; Inputs'!$C$41,'Control Panel &amp; Inputs'!$C$35/'Control Panel &amp; Inputs'!$C$41,0)-MIN(IF(1&lt;='Control Panel &amp; Inputs'!$C$39,-IPMT('Control Panel &amp; Inputs'!$C$38,1,'Control Panel &amp; Inputs'!$C$39,$D19),0),'Control Panel &amp; Inputs'!$C$43*B37))*'Control Panel &amp; Inputs'!$C$42</f>
        <v>2860894.03737704</v>
      </c>
      <c r="I19" s="55" t="n">
        <f aca="false">C37-IF(2&lt;='Control Panel &amp; Inputs'!$C$39,$F19,0)-MAX(0,C37-IF(2&lt;='Control Panel &amp; Inputs'!$C$41,'Control Panel &amp; Inputs'!$C$35/'Control Panel &amp; Inputs'!$C$41,0)-MIN(IF(2&lt;='Control Panel &amp; Inputs'!$C$39,-IPMT('Control Panel &amp; Inputs'!$C$38,2,'Control Panel &amp; Inputs'!$C$39,$D19),0),'Control Panel &amp; Inputs'!$C$43*C37))*'Control Panel &amp; Inputs'!$C$42</f>
        <v>12377335.7147722</v>
      </c>
      <c r="J19" s="55" t="n">
        <f aca="false">D37-IF(3&lt;='Control Panel &amp; Inputs'!$C$39,$F19,0)-MAX(0,D37-IF(3&lt;='Control Panel &amp; Inputs'!$C$41,'Control Panel &amp; Inputs'!$C$35/'Control Panel &amp; Inputs'!$C$41,0)-MIN(IF(3&lt;='Control Panel &amp; Inputs'!$C$39,-IPMT('Control Panel &amp; Inputs'!$C$38,3,'Control Panel &amp; Inputs'!$C$39,$D19),0),'Control Panel &amp; Inputs'!$C$43*D37))*'Control Panel &amp; Inputs'!$C$42</f>
        <v>13579780.6257153</v>
      </c>
      <c r="K19" s="55" t="n">
        <f aca="false">E37-IF(4&lt;='Control Panel &amp; Inputs'!$C$39,$F19,0)-MAX(0,E37-IF(4&lt;='Control Panel &amp; Inputs'!$C$41,'Control Panel &amp; Inputs'!$C$35/'Control Panel &amp; Inputs'!$C$41,0)-MIN(IF(4&lt;='Control Panel &amp; Inputs'!$C$39,-IPMT('Control Panel &amp; Inputs'!$C$38,4,'Control Panel &amp; Inputs'!$C$39,$D19),0),'Control Panel &amp; Inputs'!$C$43*E37))*'Control Panel &amp; Inputs'!$C$42</f>
        <v>14874034.5356273</v>
      </c>
      <c r="L19" s="55" t="n">
        <f aca="false">F37-IF(5&lt;='Control Panel &amp; Inputs'!$C$39,$F19,0)-MAX(0,F37-IF(5&lt;='Control Panel &amp; Inputs'!$C$41,'Control Panel &amp; Inputs'!$C$35/'Control Panel &amp; Inputs'!$C$41,0)-MIN(IF(5&lt;='Control Panel &amp; Inputs'!$C$39,-IPMT('Control Panel &amp; Inputs'!$C$38,5,'Control Panel &amp; Inputs'!$C$39,$D19),0),'Control Panel &amp; Inputs'!$C$43*F37))*'Control Panel &amp; Inputs'!$C$42+'Control Panel &amp; Inputs'!$C$35*'Control Panel &amp; Inputs'!$C$36</f>
        <v>48837324.9822226</v>
      </c>
      <c r="M19" s="56" t="n">
        <f aca="false">IRR(G19:L19)</f>
        <v>-0.0151406941408555</v>
      </c>
      <c r="N19" s="57" t="n">
        <f aca="false">AVERAGE(B37:F37)/$F19</f>
        <v>1.21704492082562</v>
      </c>
    </row>
    <row r="20" customFormat="false" ht="15" hidden="false" customHeight="false" outlineLevel="0" collapsed="false">
      <c r="A20" s="6" t="s">
        <v>370</v>
      </c>
      <c r="B20" s="53" t="n">
        <v>0.1</v>
      </c>
      <c r="C20" s="54" t="n">
        <v>0.8</v>
      </c>
      <c r="D20" s="55" t="n">
        <f aca="false">'Control Panel &amp; Inputs'!$C$35*$C20</f>
        <v>262400000</v>
      </c>
      <c r="E20" s="55" t="n">
        <f aca="false">'Control Panel &amp; Inputs'!$C$35-$D20</f>
        <v>65600000</v>
      </c>
      <c r="F20" s="55" t="n">
        <f aca="false">-PMT('Control Panel &amp; Inputs'!$C$38,'Control Panel &amp; Inputs'!$C$39,$D20)</f>
        <v>63142502.6655805</v>
      </c>
      <c r="G20" s="55" t="n">
        <f aca="false">-$E20</f>
        <v>-65600000</v>
      </c>
      <c r="H20" s="55" t="n">
        <f aca="false">B38-IF(1&lt;='Control Panel &amp; Inputs'!$C$39,$F20,0)-MAX(0,B38-IF(1&lt;='Control Panel &amp; Inputs'!$C$41,'Control Panel &amp; Inputs'!$C$35/'Control Panel &amp; Inputs'!$C$41,0)-MIN(IF(1&lt;='Control Panel &amp; Inputs'!$C$39,-IPMT('Control Panel &amp; Inputs'!$C$38,1,'Control Panel &amp; Inputs'!$C$39,$D20),0),'Control Panel &amp; Inputs'!$C$43*B38))*'Control Panel &amp; Inputs'!$C$42</f>
        <v>-5031918.79582052</v>
      </c>
      <c r="I20" s="55" t="n">
        <f aca="false">C38-IF(2&lt;='Control Panel &amp; Inputs'!$C$39,$F20,0)-MAX(0,C38-IF(2&lt;='Control Panel &amp; Inputs'!$C$41,'Control Panel &amp; Inputs'!$C$35/'Control Panel &amp; Inputs'!$C$41,0)-MIN(IF(2&lt;='Control Panel &amp; Inputs'!$C$39,-IPMT('Control Panel &amp; Inputs'!$C$38,2,'Control Panel &amp; Inputs'!$C$39,$D20),0),'Control Panel &amp; Inputs'!$C$43*C38))*'Control Panel &amp; Inputs'!$C$42</f>
        <v>4484522.88157468</v>
      </c>
      <c r="J20" s="55" t="n">
        <f aca="false">D38-IF(3&lt;='Control Panel &amp; Inputs'!$C$39,$F20,0)-MAX(0,D38-IF(3&lt;='Control Panel &amp; Inputs'!$C$41,'Control Panel &amp; Inputs'!$C$35/'Control Panel &amp; Inputs'!$C$41,0)-MIN(IF(3&lt;='Control Panel &amp; Inputs'!$C$39,-IPMT('Control Panel &amp; Inputs'!$C$38,3,'Control Panel &amp; Inputs'!$C$39,$D20),0),'Control Panel &amp; Inputs'!$C$43*D38))*'Control Panel &amp; Inputs'!$C$42</f>
        <v>5686967.79251779</v>
      </c>
      <c r="K20" s="55" t="n">
        <f aca="false">E38-IF(4&lt;='Control Panel &amp; Inputs'!$C$39,$F20,0)-MAX(0,E38-IF(4&lt;='Control Panel &amp; Inputs'!$C$41,'Control Panel &amp; Inputs'!$C$35/'Control Panel &amp; Inputs'!$C$41,0)-MIN(IF(4&lt;='Control Panel &amp; Inputs'!$C$39,-IPMT('Control Panel &amp; Inputs'!$C$38,4,'Control Panel &amp; Inputs'!$C$39,$D20),0),'Control Panel &amp; Inputs'!$C$43*E38))*'Control Panel &amp; Inputs'!$C$42</f>
        <v>6981221.70242975</v>
      </c>
      <c r="L20" s="55" t="n">
        <f aca="false">F38-IF(5&lt;='Control Panel &amp; Inputs'!$C$39,$F20,0)-MAX(0,F38-IF(5&lt;='Control Panel &amp; Inputs'!$C$41,'Control Panel &amp; Inputs'!$C$35/'Control Panel &amp; Inputs'!$C$41,0)-MIN(IF(5&lt;='Control Panel &amp; Inputs'!$C$39,-IPMT('Control Panel &amp; Inputs'!$C$38,5,'Control Panel &amp; Inputs'!$C$39,$D20),0),'Control Panel &amp; Inputs'!$C$43*F38))*'Control Panel &amp; Inputs'!$C$42+'Control Panel &amp; Inputs'!$C$35*'Control Panel &amp; Inputs'!$C$36</f>
        <v>40987867.0364187</v>
      </c>
      <c r="M20" s="56" t="n">
        <f aca="false">IRR(G20:L20)</f>
        <v>-0.0432695354488995</v>
      </c>
      <c r="N20" s="57" t="n">
        <f aca="false">AVERAGE(B38:F38)/$F20</f>
        <v>1.06491430572242</v>
      </c>
    </row>
    <row r="21" customFormat="false" ht="15" hidden="false" customHeight="false" outlineLevel="0" collapsed="false">
      <c r="A21" s="45" t="s">
        <v>371</v>
      </c>
    </row>
    <row r="22" customFormat="false" ht="15" hidden="false" customHeight="false" outlineLevel="0" collapsed="false">
      <c r="A22" s="3" t="s">
        <v>341</v>
      </c>
      <c r="B22" s="3" t="s">
        <v>372</v>
      </c>
      <c r="C22" s="3" t="s">
        <v>373</v>
      </c>
      <c r="D22" s="3" t="s">
        <v>374</v>
      </c>
      <c r="E22" s="3" t="s">
        <v>375</v>
      </c>
      <c r="F22" s="3" t="s">
        <v>376</v>
      </c>
    </row>
    <row r="23" customFormat="false" ht="15" hidden="false" customHeight="false" outlineLevel="0" collapsed="false">
      <c r="A23" s="58" t="str">
        <f aca="false">A5</f>
        <v>$0.04/kWh @ 50% debt</v>
      </c>
      <c r="B23" s="55" t="n">
        <f aca="false">'Pro Forma Financials'!C$8-'Pro Forma Financials'!C$12-'Pro Forma Financials'!C$10*$B5*POWER(1+'Control Panel &amp; Inputs'!$C$34,0)</f>
        <v>62078033.547904</v>
      </c>
      <c r="C23" s="55" t="n">
        <f aca="false">'Pro Forma Financials'!D$8-'Pro Forma Financials'!D$12-'Pro Forma Financials'!C$10*$B5*POWER(1+'Control Panel &amp; Inputs'!$C$34,1)</f>
        <v>71673824.2188621</v>
      </c>
      <c r="D23" s="55" t="n">
        <f aca="false">'Pro Forma Financials'!E$8-'Pro Forma Financials'!E$12-'Pro Forma Financials'!C$10*$B5*POWER(1+'Control Panel &amp; Inputs'!$C$34,2)</f>
        <v>72957205.1032393</v>
      </c>
      <c r="E23" s="55" t="n">
        <f aca="false">'Pro Forma Financials'!F$8-'Pro Forma Financials'!F$12-'Pro Forma Financials'!C$10*$B5*POWER(1+'Control Panel &amp; Inputs'!$C$34,3)</f>
        <v>74334013.7060541</v>
      </c>
      <c r="F23" s="55" t="n">
        <f aca="false">'Pro Forma Financials'!G$8-'Pro Forma Financials'!G$12-'Pro Forma Financials'!C$10*$B5*POWER(1+'Control Panel &amp; Inputs'!$C$34,4)</f>
        <v>75810462.8202446</v>
      </c>
    </row>
    <row r="24" customFormat="false" ht="15" hidden="false" customHeight="false" outlineLevel="0" collapsed="false">
      <c r="A24" s="58" t="str">
        <f aca="false">A6</f>
        <v>$0.04/kWh @ 60% debt</v>
      </c>
      <c r="B24" s="55" t="n">
        <f aca="false">'Pro Forma Financials'!C$8-'Pro Forma Financials'!C$12-'Pro Forma Financials'!C$10*$B6*POWER(1+'Control Panel &amp; Inputs'!$C$34,0)</f>
        <v>62078033.547904</v>
      </c>
      <c r="C24" s="55" t="n">
        <f aca="false">'Pro Forma Financials'!D$8-'Pro Forma Financials'!D$12-'Pro Forma Financials'!C$10*$B6*POWER(1+'Control Panel &amp; Inputs'!$C$34,1)</f>
        <v>71673824.2188621</v>
      </c>
      <c r="D24" s="55" t="n">
        <f aca="false">'Pro Forma Financials'!E$8-'Pro Forma Financials'!E$12-'Pro Forma Financials'!C$10*$B6*POWER(1+'Control Panel &amp; Inputs'!$C$34,2)</f>
        <v>72957205.1032393</v>
      </c>
      <c r="E24" s="55" t="n">
        <f aca="false">'Pro Forma Financials'!F$8-'Pro Forma Financials'!F$12-'Pro Forma Financials'!C$10*$B6*POWER(1+'Control Panel &amp; Inputs'!$C$34,3)</f>
        <v>74334013.7060541</v>
      </c>
      <c r="F24" s="55" t="n">
        <f aca="false">'Pro Forma Financials'!G$8-'Pro Forma Financials'!G$12-'Pro Forma Financials'!C$10*$B6*POWER(1+'Control Panel &amp; Inputs'!$C$34,4)</f>
        <v>75810462.8202446</v>
      </c>
    </row>
    <row r="25" customFormat="false" ht="15" hidden="false" customHeight="false" outlineLevel="0" collapsed="false">
      <c r="A25" s="58" t="str">
        <f aca="false">A7</f>
        <v>$0.04/kWh @ 70% debt</v>
      </c>
      <c r="B25" s="55" t="n">
        <f aca="false">'Pro Forma Financials'!C$8-'Pro Forma Financials'!C$12-'Pro Forma Financials'!C$10*$B7*POWER(1+'Control Panel &amp; Inputs'!$C$34,0)</f>
        <v>62078033.547904</v>
      </c>
      <c r="C25" s="55" t="n">
        <f aca="false">'Pro Forma Financials'!D$8-'Pro Forma Financials'!D$12-'Pro Forma Financials'!C$10*$B7*POWER(1+'Control Panel &amp; Inputs'!$C$34,1)</f>
        <v>71673824.2188621</v>
      </c>
      <c r="D25" s="55" t="n">
        <f aca="false">'Pro Forma Financials'!E$8-'Pro Forma Financials'!E$12-'Pro Forma Financials'!C$10*$B7*POWER(1+'Control Panel &amp; Inputs'!$C$34,2)</f>
        <v>72957205.1032393</v>
      </c>
      <c r="E25" s="55" t="n">
        <f aca="false">'Pro Forma Financials'!F$8-'Pro Forma Financials'!F$12-'Pro Forma Financials'!C$10*$B7*POWER(1+'Control Panel &amp; Inputs'!$C$34,3)</f>
        <v>74334013.7060541</v>
      </c>
      <c r="F25" s="55" t="n">
        <f aca="false">'Pro Forma Financials'!G$8-'Pro Forma Financials'!G$12-'Pro Forma Financials'!C$10*$B7*POWER(1+'Control Panel &amp; Inputs'!$C$34,4)</f>
        <v>75810462.8202446</v>
      </c>
    </row>
    <row r="26" customFormat="false" ht="15" hidden="false" customHeight="false" outlineLevel="0" collapsed="false">
      <c r="A26" s="58" t="str">
        <f aca="false">A8</f>
        <v>$0.04/kWh @ 80% debt</v>
      </c>
      <c r="B26" s="55" t="n">
        <f aca="false">'Pro Forma Financials'!C$8-'Pro Forma Financials'!C$12-'Pro Forma Financials'!C$10*$B8*POWER(1+'Control Panel &amp; Inputs'!$C$34,0)</f>
        <v>62078033.547904</v>
      </c>
      <c r="C26" s="55" t="n">
        <f aca="false">'Pro Forma Financials'!D$8-'Pro Forma Financials'!D$12-'Pro Forma Financials'!C$10*$B8*POWER(1+'Control Panel &amp; Inputs'!$C$34,1)</f>
        <v>71673824.2188621</v>
      </c>
      <c r="D26" s="55" t="n">
        <f aca="false">'Pro Forma Financials'!E$8-'Pro Forma Financials'!E$12-'Pro Forma Financials'!C$10*$B8*POWER(1+'Control Panel &amp; Inputs'!$C$34,2)</f>
        <v>72957205.1032393</v>
      </c>
      <c r="E26" s="55" t="n">
        <f aca="false">'Pro Forma Financials'!F$8-'Pro Forma Financials'!F$12-'Pro Forma Financials'!C$10*$B8*POWER(1+'Control Panel &amp; Inputs'!$C$34,3)</f>
        <v>74334013.7060541</v>
      </c>
      <c r="F26" s="55" t="n">
        <f aca="false">'Pro Forma Financials'!G$8-'Pro Forma Financials'!G$12-'Pro Forma Financials'!C$10*$B8*POWER(1+'Control Panel &amp; Inputs'!$C$34,4)</f>
        <v>75810462.8202446</v>
      </c>
    </row>
    <row r="27" customFormat="false" ht="15" hidden="false" customHeight="false" outlineLevel="0" collapsed="false">
      <c r="A27" s="58" t="str">
        <f aca="false">A9</f>
        <v>$0.06/kWh @ 50% debt</v>
      </c>
      <c r="B27" s="55" t="n">
        <f aca="false">'Pro Forma Financials'!C$8-'Pro Forma Financials'!C$12-'Pro Forma Financials'!C$10*$B9*POWER(1+'Control Panel &amp; Inputs'!$C$34,0)</f>
        <v>60755550.321856</v>
      </c>
      <c r="C27" s="55" t="n">
        <f aca="false">'Pro Forma Financials'!D$8-'Pro Forma Financials'!D$12-'Pro Forma Financials'!C$10*$B9*POWER(1+'Control Panel &amp; Inputs'!$C$34,1)</f>
        <v>70324891.3282931</v>
      </c>
      <c r="D27" s="55" t="n">
        <f aca="false">'Pro Forma Financials'!E$8-'Pro Forma Financials'!E$12-'Pro Forma Financials'!C$10*$B9*POWER(1+'Control Panel &amp; Inputs'!$C$34,2)</f>
        <v>71581293.554859</v>
      </c>
      <c r="E27" s="55" t="n">
        <f aca="false">'Pro Forma Financials'!F$8-'Pro Forma Financials'!F$12-'Pro Forma Financials'!C$10*$B9*POWER(1+'Control Panel &amp; Inputs'!$C$34,3)</f>
        <v>72930583.9267062</v>
      </c>
      <c r="F27" s="55" t="n">
        <f aca="false">'Pro Forma Financials'!G$8-'Pro Forma Financials'!G$12-'Pro Forma Financials'!C$10*$B9*POWER(1+'Control Panel &amp; Inputs'!$C$34,4)</f>
        <v>74378964.4453097</v>
      </c>
    </row>
    <row r="28" customFormat="false" ht="15" hidden="false" customHeight="false" outlineLevel="0" collapsed="false">
      <c r="A28" s="58" t="str">
        <f aca="false">A10</f>
        <v>$0.06/kWh @ 60% debt</v>
      </c>
      <c r="B28" s="55" t="n">
        <f aca="false">'Pro Forma Financials'!C$8-'Pro Forma Financials'!C$12-'Pro Forma Financials'!C$10*$B10*POWER(1+'Control Panel &amp; Inputs'!$C$34,0)</f>
        <v>60755550.321856</v>
      </c>
      <c r="C28" s="55" t="n">
        <f aca="false">'Pro Forma Financials'!D$8-'Pro Forma Financials'!D$12-'Pro Forma Financials'!C$10*$B10*POWER(1+'Control Panel &amp; Inputs'!$C$34,1)</f>
        <v>70324891.3282931</v>
      </c>
      <c r="D28" s="55" t="n">
        <f aca="false">'Pro Forma Financials'!E$8-'Pro Forma Financials'!E$12-'Pro Forma Financials'!C$10*$B10*POWER(1+'Control Panel &amp; Inputs'!$C$34,2)</f>
        <v>71581293.554859</v>
      </c>
      <c r="E28" s="55" t="n">
        <f aca="false">'Pro Forma Financials'!F$8-'Pro Forma Financials'!F$12-'Pro Forma Financials'!C$10*$B10*POWER(1+'Control Panel &amp; Inputs'!$C$34,3)</f>
        <v>72930583.9267062</v>
      </c>
      <c r="F28" s="55" t="n">
        <f aca="false">'Pro Forma Financials'!G$8-'Pro Forma Financials'!G$12-'Pro Forma Financials'!C$10*$B10*POWER(1+'Control Panel &amp; Inputs'!$C$34,4)</f>
        <v>74378964.4453097</v>
      </c>
    </row>
    <row r="29" customFormat="false" ht="15" hidden="false" customHeight="false" outlineLevel="0" collapsed="false">
      <c r="A29" s="58" t="str">
        <f aca="false">A11</f>
        <v>$0.06/kWh @ 70% debt</v>
      </c>
      <c r="B29" s="55" t="n">
        <f aca="false">'Pro Forma Financials'!C$8-'Pro Forma Financials'!C$12-'Pro Forma Financials'!C$10*$B11*POWER(1+'Control Panel &amp; Inputs'!$C$34,0)</f>
        <v>60755550.321856</v>
      </c>
      <c r="C29" s="55" t="n">
        <f aca="false">'Pro Forma Financials'!D$8-'Pro Forma Financials'!D$12-'Pro Forma Financials'!C$10*$B11*POWER(1+'Control Panel &amp; Inputs'!$C$34,1)</f>
        <v>70324891.3282931</v>
      </c>
      <c r="D29" s="55" t="n">
        <f aca="false">'Pro Forma Financials'!E$8-'Pro Forma Financials'!E$12-'Pro Forma Financials'!C$10*$B11*POWER(1+'Control Panel &amp; Inputs'!$C$34,2)</f>
        <v>71581293.554859</v>
      </c>
      <c r="E29" s="55" t="n">
        <f aca="false">'Pro Forma Financials'!F$8-'Pro Forma Financials'!F$12-'Pro Forma Financials'!C$10*$B11*POWER(1+'Control Panel &amp; Inputs'!$C$34,3)</f>
        <v>72930583.9267062</v>
      </c>
      <c r="F29" s="55" t="n">
        <f aca="false">'Pro Forma Financials'!G$8-'Pro Forma Financials'!G$12-'Pro Forma Financials'!C$10*$B11*POWER(1+'Control Panel &amp; Inputs'!$C$34,4)</f>
        <v>74378964.4453097</v>
      </c>
    </row>
    <row r="30" customFormat="false" ht="15" hidden="false" customHeight="false" outlineLevel="0" collapsed="false">
      <c r="A30" s="58" t="str">
        <f aca="false">A12</f>
        <v>$0.06/kWh @ 80% debt</v>
      </c>
      <c r="B30" s="55" t="n">
        <f aca="false">'Pro Forma Financials'!C$8-'Pro Forma Financials'!C$12-'Pro Forma Financials'!C$10*$B12*POWER(1+'Control Panel &amp; Inputs'!$C$34,0)</f>
        <v>60755550.321856</v>
      </c>
      <c r="C30" s="55" t="n">
        <f aca="false">'Pro Forma Financials'!D$8-'Pro Forma Financials'!D$12-'Pro Forma Financials'!C$10*$B12*POWER(1+'Control Panel &amp; Inputs'!$C$34,1)</f>
        <v>70324891.3282931</v>
      </c>
      <c r="D30" s="55" t="n">
        <f aca="false">'Pro Forma Financials'!E$8-'Pro Forma Financials'!E$12-'Pro Forma Financials'!C$10*$B12*POWER(1+'Control Panel &amp; Inputs'!$C$34,2)</f>
        <v>71581293.554859</v>
      </c>
      <c r="E30" s="55" t="n">
        <f aca="false">'Pro Forma Financials'!F$8-'Pro Forma Financials'!F$12-'Pro Forma Financials'!C$10*$B12*POWER(1+'Control Panel &amp; Inputs'!$C$34,3)</f>
        <v>72930583.9267062</v>
      </c>
      <c r="F30" s="55" t="n">
        <f aca="false">'Pro Forma Financials'!G$8-'Pro Forma Financials'!G$12-'Pro Forma Financials'!C$10*$B12*POWER(1+'Control Panel &amp; Inputs'!$C$34,4)</f>
        <v>74378964.4453097</v>
      </c>
    </row>
    <row r="31" customFormat="false" ht="15" hidden="false" customHeight="false" outlineLevel="0" collapsed="false">
      <c r="A31" s="58" t="str">
        <f aca="false">A13</f>
        <v>$0.08/kWh @ 50% debt</v>
      </c>
      <c r="B31" s="55" t="n">
        <f aca="false">'Pro Forma Financials'!C$8-'Pro Forma Financials'!C$12-'Pro Forma Financials'!C$10*$B13*POWER(1+'Control Panel &amp; Inputs'!$C$34,0)</f>
        <v>59433067.095808</v>
      </c>
      <c r="C31" s="55" t="n">
        <f aca="false">'Pro Forma Financials'!D$8-'Pro Forma Financials'!D$12-'Pro Forma Financials'!C$10*$B13*POWER(1+'Control Panel &amp; Inputs'!$C$34,1)</f>
        <v>68975958.4377242</v>
      </c>
      <c r="D31" s="55" t="n">
        <f aca="false">'Pro Forma Financials'!E$8-'Pro Forma Financials'!E$12-'Pro Forma Financials'!C$10*$B13*POWER(1+'Control Panel &amp; Inputs'!$C$34,2)</f>
        <v>70205382.0064787</v>
      </c>
      <c r="E31" s="55" t="n">
        <f aca="false">'Pro Forma Financials'!F$8-'Pro Forma Financials'!F$12-'Pro Forma Financials'!C$10*$B13*POWER(1+'Control Panel &amp; Inputs'!$C$34,3)</f>
        <v>71527154.1473582</v>
      </c>
      <c r="F31" s="55" t="n">
        <f aca="false">'Pro Forma Financials'!G$8-'Pro Forma Financials'!G$12-'Pro Forma Financials'!C$10*$B13*POWER(1+'Control Panel &amp; Inputs'!$C$34,4)</f>
        <v>72947466.0703748</v>
      </c>
    </row>
    <row r="32" customFormat="false" ht="15" hidden="false" customHeight="false" outlineLevel="0" collapsed="false">
      <c r="A32" s="58" t="str">
        <f aca="false">A14</f>
        <v>$0.08/kWh @ 60% debt</v>
      </c>
      <c r="B32" s="55" t="n">
        <f aca="false">'Pro Forma Financials'!C$8-'Pro Forma Financials'!C$12-'Pro Forma Financials'!C$10*$B14*POWER(1+'Control Panel &amp; Inputs'!$C$34,0)</f>
        <v>59433067.095808</v>
      </c>
      <c r="C32" s="55" t="n">
        <f aca="false">'Pro Forma Financials'!D$8-'Pro Forma Financials'!D$12-'Pro Forma Financials'!C$10*$B14*POWER(1+'Control Panel &amp; Inputs'!$C$34,1)</f>
        <v>68975958.4377242</v>
      </c>
      <c r="D32" s="55" t="n">
        <f aca="false">'Pro Forma Financials'!E$8-'Pro Forma Financials'!E$12-'Pro Forma Financials'!C$10*$B14*POWER(1+'Control Panel &amp; Inputs'!$C$34,2)</f>
        <v>70205382.0064787</v>
      </c>
      <c r="E32" s="55" t="n">
        <f aca="false">'Pro Forma Financials'!F$8-'Pro Forma Financials'!F$12-'Pro Forma Financials'!C$10*$B14*POWER(1+'Control Panel &amp; Inputs'!$C$34,3)</f>
        <v>71527154.1473582</v>
      </c>
      <c r="F32" s="55" t="n">
        <f aca="false">'Pro Forma Financials'!G$8-'Pro Forma Financials'!G$12-'Pro Forma Financials'!C$10*$B14*POWER(1+'Control Panel &amp; Inputs'!$C$34,4)</f>
        <v>72947466.0703748</v>
      </c>
    </row>
    <row r="33" customFormat="false" ht="15" hidden="false" customHeight="false" outlineLevel="0" collapsed="false">
      <c r="A33" s="58" t="str">
        <f aca="false">A15</f>
        <v>$0.08/kWh @ 70% debt</v>
      </c>
      <c r="B33" s="55" t="n">
        <f aca="false">'Pro Forma Financials'!C$8-'Pro Forma Financials'!C$12-'Pro Forma Financials'!C$10*$B15*POWER(1+'Control Panel &amp; Inputs'!$C$34,0)</f>
        <v>59433067.095808</v>
      </c>
      <c r="C33" s="55" t="n">
        <f aca="false">'Pro Forma Financials'!D$8-'Pro Forma Financials'!D$12-'Pro Forma Financials'!C$10*$B15*POWER(1+'Control Panel &amp; Inputs'!$C$34,1)</f>
        <v>68975958.4377242</v>
      </c>
      <c r="D33" s="55" t="n">
        <f aca="false">'Pro Forma Financials'!E$8-'Pro Forma Financials'!E$12-'Pro Forma Financials'!C$10*$B15*POWER(1+'Control Panel &amp; Inputs'!$C$34,2)</f>
        <v>70205382.0064787</v>
      </c>
      <c r="E33" s="55" t="n">
        <f aca="false">'Pro Forma Financials'!F$8-'Pro Forma Financials'!F$12-'Pro Forma Financials'!C$10*$B15*POWER(1+'Control Panel &amp; Inputs'!$C$34,3)</f>
        <v>71527154.1473582</v>
      </c>
      <c r="F33" s="55" t="n">
        <f aca="false">'Pro Forma Financials'!G$8-'Pro Forma Financials'!G$12-'Pro Forma Financials'!C$10*$B15*POWER(1+'Control Panel &amp; Inputs'!$C$34,4)</f>
        <v>72947466.0703748</v>
      </c>
    </row>
    <row r="34" customFormat="false" ht="15" hidden="false" customHeight="false" outlineLevel="0" collapsed="false">
      <c r="A34" s="58" t="str">
        <f aca="false">A16</f>
        <v>$0.08/kWh @ 80% debt</v>
      </c>
      <c r="B34" s="55" t="n">
        <f aca="false">'Pro Forma Financials'!C$8-'Pro Forma Financials'!C$12-'Pro Forma Financials'!C$10*$B16*POWER(1+'Control Panel &amp; Inputs'!$C$34,0)</f>
        <v>59433067.095808</v>
      </c>
      <c r="C34" s="55" t="n">
        <f aca="false">'Pro Forma Financials'!D$8-'Pro Forma Financials'!D$12-'Pro Forma Financials'!C$10*$B16*POWER(1+'Control Panel &amp; Inputs'!$C$34,1)</f>
        <v>68975958.4377242</v>
      </c>
      <c r="D34" s="55" t="n">
        <f aca="false">'Pro Forma Financials'!E$8-'Pro Forma Financials'!E$12-'Pro Forma Financials'!C$10*$B16*POWER(1+'Control Panel &amp; Inputs'!$C$34,2)</f>
        <v>70205382.0064787</v>
      </c>
      <c r="E34" s="55" t="n">
        <f aca="false">'Pro Forma Financials'!F$8-'Pro Forma Financials'!F$12-'Pro Forma Financials'!C$10*$B16*POWER(1+'Control Panel &amp; Inputs'!$C$34,3)</f>
        <v>71527154.1473582</v>
      </c>
      <c r="F34" s="55" t="n">
        <f aca="false">'Pro Forma Financials'!G$8-'Pro Forma Financials'!G$12-'Pro Forma Financials'!C$10*$B16*POWER(1+'Control Panel &amp; Inputs'!$C$34,4)</f>
        <v>72947466.0703748</v>
      </c>
    </row>
    <row r="35" customFormat="false" ht="15" hidden="false" customHeight="false" outlineLevel="0" collapsed="false">
      <c r="A35" s="58" t="str">
        <f aca="false">A17</f>
        <v>$0.10/kWh @ 50% debt</v>
      </c>
      <c r="B35" s="55" t="n">
        <f aca="false">'Pro Forma Financials'!C$8-'Pro Forma Financials'!C$12-'Pro Forma Financials'!C$10*$B17*POWER(1+'Control Panel &amp; Inputs'!$C$34,0)</f>
        <v>58110583.86976</v>
      </c>
      <c r="C35" s="55" t="n">
        <f aca="false">'Pro Forma Financials'!D$8-'Pro Forma Financials'!D$12-'Pro Forma Financials'!C$10*$B17*POWER(1+'Control Panel &amp; Inputs'!$C$34,1)</f>
        <v>67627025.5471552</v>
      </c>
      <c r="D35" s="55" t="n">
        <f aca="false">'Pro Forma Financials'!E$8-'Pro Forma Financials'!E$12-'Pro Forma Financials'!C$10*$B17*POWER(1+'Control Panel &amp; Inputs'!$C$34,2)</f>
        <v>68829470.4580983</v>
      </c>
      <c r="E35" s="55" t="n">
        <f aca="false">'Pro Forma Financials'!F$8-'Pro Forma Financials'!F$12-'Pro Forma Financials'!C$10*$B17*POWER(1+'Control Panel &amp; Inputs'!$C$34,3)</f>
        <v>70123724.3680103</v>
      </c>
      <c r="F35" s="55" t="n">
        <f aca="false">'Pro Forma Financials'!G$8-'Pro Forma Financials'!G$12-'Pro Forma Financials'!C$10*$B17*POWER(1+'Control Panel &amp; Inputs'!$C$34,4)</f>
        <v>71515967.6954399</v>
      </c>
    </row>
    <row r="36" customFormat="false" ht="15" hidden="false" customHeight="false" outlineLevel="0" collapsed="false">
      <c r="A36" s="58" t="str">
        <f aca="false">A18</f>
        <v>$0.10/kWh @ 60% debt</v>
      </c>
      <c r="B36" s="55" t="n">
        <f aca="false">'Pro Forma Financials'!C$8-'Pro Forma Financials'!C$12-'Pro Forma Financials'!C$10*$B18*POWER(1+'Control Panel &amp; Inputs'!$C$34,0)</f>
        <v>58110583.86976</v>
      </c>
      <c r="C36" s="55" t="n">
        <f aca="false">'Pro Forma Financials'!D$8-'Pro Forma Financials'!D$12-'Pro Forma Financials'!C$10*$B18*POWER(1+'Control Panel &amp; Inputs'!$C$34,1)</f>
        <v>67627025.5471552</v>
      </c>
      <c r="D36" s="55" t="n">
        <f aca="false">'Pro Forma Financials'!E$8-'Pro Forma Financials'!E$12-'Pro Forma Financials'!C$10*$B18*POWER(1+'Control Panel &amp; Inputs'!$C$34,2)</f>
        <v>68829470.4580983</v>
      </c>
      <c r="E36" s="55" t="n">
        <f aca="false">'Pro Forma Financials'!F$8-'Pro Forma Financials'!F$12-'Pro Forma Financials'!C$10*$B18*POWER(1+'Control Panel &amp; Inputs'!$C$34,3)</f>
        <v>70123724.3680103</v>
      </c>
      <c r="F36" s="55" t="n">
        <f aca="false">'Pro Forma Financials'!G$8-'Pro Forma Financials'!G$12-'Pro Forma Financials'!C$10*$B18*POWER(1+'Control Panel &amp; Inputs'!$C$34,4)</f>
        <v>71515967.6954399</v>
      </c>
    </row>
    <row r="37" customFormat="false" ht="15" hidden="false" customHeight="false" outlineLevel="0" collapsed="false">
      <c r="A37" s="58" t="str">
        <f aca="false">A19</f>
        <v>$0.10/kWh @ 70% debt</v>
      </c>
      <c r="B37" s="55" t="n">
        <f aca="false">'Pro Forma Financials'!C$8-'Pro Forma Financials'!C$12-'Pro Forma Financials'!C$10*$B19*POWER(1+'Control Panel &amp; Inputs'!$C$34,0)</f>
        <v>58110583.86976</v>
      </c>
      <c r="C37" s="55" t="n">
        <f aca="false">'Pro Forma Financials'!D$8-'Pro Forma Financials'!D$12-'Pro Forma Financials'!C$10*$B19*POWER(1+'Control Panel &amp; Inputs'!$C$34,1)</f>
        <v>67627025.5471552</v>
      </c>
      <c r="D37" s="55" t="n">
        <f aca="false">'Pro Forma Financials'!E$8-'Pro Forma Financials'!E$12-'Pro Forma Financials'!C$10*$B19*POWER(1+'Control Panel &amp; Inputs'!$C$34,2)</f>
        <v>68829470.4580983</v>
      </c>
      <c r="E37" s="55" t="n">
        <f aca="false">'Pro Forma Financials'!F$8-'Pro Forma Financials'!F$12-'Pro Forma Financials'!C$10*$B19*POWER(1+'Control Panel &amp; Inputs'!$C$34,3)</f>
        <v>70123724.3680103</v>
      </c>
      <c r="F37" s="55" t="n">
        <f aca="false">'Pro Forma Financials'!G$8-'Pro Forma Financials'!G$12-'Pro Forma Financials'!C$10*$B19*POWER(1+'Control Panel &amp; Inputs'!$C$34,4)</f>
        <v>71515967.6954399</v>
      </c>
    </row>
    <row r="38" customFormat="false" ht="15" hidden="false" customHeight="false" outlineLevel="0" collapsed="false">
      <c r="A38" s="58" t="str">
        <f aca="false">A20</f>
        <v>$0.10/kWh @ 80% debt</v>
      </c>
      <c r="B38" s="55" t="n">
        <f aca="false">'Pro Forma Financials'!C$8-'Pro Forma Financials'!C$12-'Pro Forma Financials'!C$10*$B20*POWER(1+'Control Panel &amp; Inputs'!$C$34,0)</f>
        <v>58110583.86976</v>
      </c>
      <c r="C38" s="55" t="n">
        <f aca="false">'Pro Forma Financials'!D$8-'Pro Forma Financials'!D$12-'Pro Forma Financials'!C$10*$B20*POWER(1+'Control Panel &amp; Inputs'!$C$34,1)</f>
        <v>67627025.5471552</v>
      </c>
      <c r="D38" s="55" t="n">
        <f aca="false">'Pro Forma Financials'!E$8-'Pro Forma Financials'!E$12-'Pro Forma Financials'!C$10*$B20*POWER(1+'Control Panel &amp; Inputs'!$C$34,2)</f>
        <v>68829470.4580983</v>
      </c>
      <c r="E38" s="55" t="n">
        <f aca="false">'Pro Forma Financials'!F$8-'Pro Forma Financials'!F$12-'Pro Forma Financials'!C$10*$B20*POWER(1+'Control Panel &amp; Inputs'!$C$34,3)</f>
        <v>70123724.3680103</v>
      </c>
      <c r="F38" s="55" t="n">
        <f aca="false">'Pro Forma Financials'!G$8-'Pro Forma Financials'!G$12-'Pro Forma Financials'!C$10*$B20*POWER(1+'Control Panel &amp; Inputs'!$C$34,4)</f>
        <v>71515967.6954399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377</v>
      </c>
    </row>
    <row r="2" customFormat="false" ht="15" hidden="false" customHeight="false" outlineLevel="0" collapsed="false">
      <c r="A2" s="2" t="s">
        <v>378</v>
      </c>
    </row>
    <row r="4" customFormat="false" ht="15" hidden="false" customHeight="false" outlineLevel="0" collapsed="false">
      <c r="A4" s="45" t="s">
        <v>379</v>
      </c>
    </row>
    <row r="5" customFormat="false" ht="15" hidden="false" customHeight="false" outlineLevel="0" collapsed="false">
      <c r="A5" s="3" t="s">
        <v>380</v>
      </c>
      <c r="B5" s="3" t="s">
        <v>381</v>
      </c>
      <c r="C5" s="3" t="s">
        <v>382</v>
      </c>
      <c r="D5" s="3" t="s">
        <v>383</v>
      </c>
      <c r="E5" s="3" t="s">
        <v>384</v>
      </c>
    </row>
    <row r="6" customFormat="false" ht="15" hidden="false" customHeight="false" outlineLevel="0" collapsed="false">
      <c r="A6" s="6" t="s">
        <v>385</v>
      </c>
      <c r="B6" s="59" t="n">
        <f aca="false">'Sensitivity Engine'!M5</f>
        <v>0.0455581791812502</v>
      </c>
      <c r="C6" s="59" t="n">
        <f aca="false">'Sensitivity Engine'!M6</f>
        <v>0.0418311991063475</v>
      </c>
      <c r="D6" s="59" t="n">
        <f aca="false">'Sensitivity Engine'!M7</f>
        <v>0.036027847120873</v>
      </c>
      <c r="E6" s="59" t="n">
        <f aca="false">'Sensitivity Engine'!M8</f>
        <v>0.0261453486370609</v>
      </c>
    </row>
    <row r="7" customFormat="false" ht="15" hidden="false" customHeight="false" outlineLevel="0" collapsed="false">
      <c r="A7" s="6" t="s">
        <v>386</v>
      </c>
      <c r="B7" s="59" t="n">
        <f aca="false">'Sensitivity Engine'!M9</f>
        <v>0.0346975334245463</v>
      </c>
      <c r="C7" s="59" t="n">
        <f aca="false">'Sensitivity Engine'!M10</f>
        <v>0.0285913820637419</v>
      </c>
      <c r="D7" s="59" t="n">
        <f aca="false">'Sensitivity Engine'!M11</f>
        <v>0.0192983072718694</v>
      </c>
      <c r="E7" s="59" t="n">
        <f aca="false">'Sensitivity Engine'!M12</f>
        <v>0.00348283951629246</v>
      </c>
    </row>
    <row r="8" customFormat="false" ht="15" hidden="false" customHeight="false" outlineLevel="0" collapsed="false">
      <c r="A8" s="6" t="s">
        <v>387</v>
      </c>
      <c r="B8" s="59" t="n">
        <f aca="false">'Sensitivity Engine'!M13</f>
        <v>0.0236605946278833</v>
      </c>
      <c r="C8" s="59" t="n">
        <f aca="false">'Sensitivity Engine'!M14</f>
        <v>0.015228148095893</v>
      </c>
      <c r="D8" s="59" t="n">
        <f aca="false">'Sensitivity Engine'!M15</f>
        <v>0.00226387121737398</v>
      </c>
      <c r="E8" s="59" t="n">
        <f aca="false">'Sensitivity Engine'!M16</f>
        <v>-0.0197751815323907</v>
      </c>
    </row>
    <row r="9" customFormat="false" ht="15" hidden="false" customHeight="false" outlineLevel="0" collapsed="false">
      <c r="A9" s="6" t="s">
        <v>388</v>
      </c>
      <c r="B9" s="59" t="n">
        <f aca="false">'Sensitivity Engine'!M17</f>
        <v>0.0125042874959422</v>
      </c>
      <c r="C9" s="59" t="n">
        <f aca="false">'Sensitivity Engine'!M18</f>
        <v>0.00153624264902171</v>
      </c>
      <c r="D9" s="59" t="n">
        <f aca="false">'Sensitivity Engine'!M19</f>
        <v>-0.0151406941408555</v>
      </c>
      <c r="E9" s="59" t="n">
        <f aca="false">'Sensitivity Engine'!M20</f>
        <v>-0.0432695354488995</v>
      </c>
    </row>
    <row r="12" customFormat="false" ht="15" hidden="false" customHeight="false" outlineLevel="0" collapsed="false">
      <c r="A12" s="45" t="s">
        <v>389</v>
      </c>
    </row>
    <row r="13" customFormat="false" ht="15" hidden="false" customHeight="false" outlineLevel="0" collapsed="false">
      <c r="A13" s="3" t="s">
        <v>380</v>
      </c>
      <c r="B13" s="3" t="s">
        <v>381</v>
      </c>
      <c r="C13" s="3" t="s">
        <v>382</v>
      </c>
      <c r="D13" s="3" t="s">
        <v>383</v>
      </c>
      <c r="E13" s="3" t="s">
        <v>384</v>
      </c>
    </row>
    <row r="14" customFormat="false" ht="15" hidden="false" customHeight="false" outlineLevel="0" collapsed="false">
      <c r="A14" s="6" t="s">
        <v>385</v>
      </c>
      <c r="B14" s="60" t="n">
        <f aca="false">'Sensitivity Engine'!N5</f>
        <v>1.80849867816635</v>
      </c>
      <c r="C14" s="60" t="n">
        <f aca="false">'Sensitivity Engine'!N6</f>
        <v>1.50708223180529</v>
      </c>
      <c r="D14" s="60" t="n">
        <f aca="false">'Sensitivity Engine'!N7</f>
        <v>1.29178477011882</v>
      </c>
      <c r="E14" s="60" t="n">
        <f aca="false">'Sensitivity Engine'!N8</f>
        <v>1.13031167385397</v>
      </c>
    </row>
    <row r="15" customFormat="false" ht="15" hidden="false" customHeight="false" outlineLevel="0" collapsed="false">
      <c r="A15" s="6" t="s">
        <v>386</v>
      </c>
      <c r="B15" s="60" t="n">
        <f aca="false">'Sensitivity Engine'!N9</f>
        <v>1.77362008182952</v>
      </c>
      <c r="C15" s="60" t="n">
        <f aca="false">'Sensitivity Engine'!N10</f>
        <v>1.47801673485793</v>
      </c>
      <c r="D15" s="60" t="n">
        <f aca="false">'Sensitivity Engine'!N11</f>
        <v>1.26687148702109</v>
      </c>
      <c r="E15" s="60" t="n">
        <f aca="false">'Sensitivity Engine'!N12</f>
        <v>1.10851255114345</v>
      </c>
    </row>
    <row r="16" customFormat="false" ht="15" hidden="false" customHeight="false" outlineLevel="0" collapsed="false">
      <c r="A16" s="6" t="s">
        <v>387</v>
      </c>
      <c r="B16" s="60" t="n">
        <f aca="false">'Sensitivity Engine'!N13</f>
        <v>1.7387414854927</v>
      </c>
      <c r="C16" s="60" t="n">
        <f aca="false">'Sensitivity Engine'!N14</f>
        <v>1.44895123791058</v>
      </c>
      <c r="D16" s="60" t="n">
        <f aca="false">'Sensitivity Engine'!N15</f>
        <v>1.24195820392335</v>
      </c>
      <c r="E16" s="60" t="n">
        <f aca="false">'Sensitivity Engine'!N16</f>
        <v>1.08671342843294</v>
      </c>
    </row>
    <row r="17" customFormat="false" ht="15" hidden="false" customHeight="false" outlineLevel="0" collapsed="false">
      <c r="A17" s="6" t="s">
        <v>388</v>
      </c>
      <c r="B17" s="60" t="n">
        <f aca="false">'Sensitivity Engine'!N17</f>
        <v>1.70386288915587</v>
      </c>
      <c r="C17" s="60" t="n">
        <f aca="false">'Sensitivity Engine'!N18</f>
        <v>1.41988574096323</v>
      </c>
      <c r="D17" s="60" t="n">
        <f aca="false">'Sensitivity Engine'!N19</f>
        <v>1.21704492082562</v>
      </c>
      <c r="E17" s="60" t="n">
        <f aca="false">'Sensitivity Engine'!N20</f>
        <v>1.06491430572242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">
        <v>390</v>
      </c>
    </row>
    <row r="2" customFormat="false" ht="15" hidden="false" customHeight="false" outlineLevel="0" collapsed="false">
      <c r="A2" s="2" t="s">
        <v>391</v>
      </c>
    </row>
    <row r="4" customFormat="false" ht="15" hidden="false" customHeight="false" outlineLevel="0" collapsed="false">
      <c r="A4" s="3" t="s">
        <v>392</v>
      </c>
      <c r="B4" s="3" t="s">
        <v>268</v>
      </c>
      <c r="C4" s="3" t="s">
        <v>269</v>
      </c>
      <c r="D4" s="3" t="s">
        <v>270</v>
      </c>
      <c r="E4" s="3" t="s">
        <v>271</v>
      </c>
      <c r="F4" s="3" t="s">
        <v>272</v>
      </c>
    </row>
    <row r="5" customFormat="false" ht="15" hidden="false" customHeight="false" outlineLevel="0" collapsed="false">
      <c r="A5" s="6" t="s">
        <v>393</v>
      </c>
      <c r="B5" s="24" t="n">
        <v>2</v>
      </c>
      <c r="C5" s="24" t="n">
        <v>2</v>
      </c>
      <c r="D5" s="24" t="n">
        <v>4</v>
      </c>
      <c r="E5" s="24" t="n">
        <v>4</v>
      </c>
      <c r="F5" s="24" t="n">
        <v>4</v>
      </c>
    </row>
    <row r="6" customFormat="false" ht="15" hidden="false" customHeight="false" outlineLevel="0" collapsed="false">
      <c r="A6" s="4" t="s">
        <v>394</v>
      </c>
      <c r="B6" s="41" t="n">
        <f aca="false">B5</f>
        <v>2</v>
      </c>
      <c r="C6" s="41" t="n">
        <f aca="false">B6+C5</f>
        <v>4</v>
      </c>
      <c r="D6" s="41" t="n">
        <f aca="false">C6+D5</f>
        <v>8</v>
      </c>
      <c r="E6" s="41" t="n">
        <f aca="false">D6+E5</f>
        <v>12</v>
      </c>
      <c r="F6" s="41" t="n">
        <f aca="false">E6+F5</f>
        <v>16</v>
      </c>
    </row>
    <row r="7" customFormat="false" ht="15" hidden="false" customHeight="false" outlineLevel="0" collapsed="false">
      <c r="A7" s="4" t="s">
        <v>395</v>
      </c>
      <c r="B7" s="61" t="n">
        <f aca="false">B6*('Thermal Hydraulics &amp; MLC'!$B$8/1000)</f>
        <v>16.528</v>
      </c>
      <c r="C7" s="61" t="n">
        <f aca="false">C6*('Thermal Hydraulics &amp; MLC'!$B$8/1000)</f>
        <v>33.056</v>
      </c>
      <c r="D7" s="61" t="n">
        <f aca="false">D6*('Thermal Hydraulics &amp; MLC'!$B$8/1000)</f>
        <v>66.112</v>
      </c>
      <c r="E7" s="61" t="n">
        <f aca="false">E6*('Thermal Hydraulics &amp; MLC'!$B$8/1000)</f>
        <v>99.168</v>
      </c>
      <c r="F7" s="61" t="n">
        <f aca="false">F6*('Thermal Hydraulics &amp; MLC'!$B$8/1000)</f>
        <v>132.224</v>
      </c>
    </row>
    <row r="8" customFormat="false" ht="15" hidden="false" customHeight="false" outlineLevel="0" collapsed="false">
      <c r="A8" s="4" t="s">
        <v>396</v>
      </c>
      <c r="B8" s="41" t="n">
        <f aca="false">B6*'Unit Economics &amp; KPIs'!$B$5</f>
        <v>4608</v>
      </c>
      <c r="C8" s="41" t="n">
        <f aca="false">C6*'Unit Economics &amp; KPIs'!$B$5</f>
        <v>9216</v>
      </c>
      <c r="D8" s="41" t="n">
        <f aca="false">D6*'Unit Economics &amp; KPIs'!$B$5</f>
        <v>18432</v>
      </c>
      <c r="E8" s="41" t="n">
        <f aca="false">E6*'Unit Economics &amp; KPIs'!$B$5</f>
        <v>27648</v>
      </c>
      <c r="F8" s="41" t="n">
        <f aca="false">F6*'Unit Economics &amp; KPIs'!$B$5</f>
        <v>36864</v>
      </c>
    </row>
    <row r="9" customFormat="false" ht="15" hidden="false" customHeight="false" outlineLevel="0" collapsed="false">
      <c r="A9" s="4" t="s">
        <v>397</v>
      </c>
      <c r="B9" s="61" t="n">
        <f aca="false">B5*'Control Panel &amp; Inputs'!$C$49</f>
        <v>1.8</v>
      </c>
      <c r="C9" s="61" t="n">
        <f aca="false">B6+C5*'Control Panel &amp; Inputs'!$C$49</f>
        <v>3.8</v>
      </c>
      <c r="D9" s="61" t="n">
        <f aca="false">C6+D5*'Control Panel &amp; Inputs'!$C$49</f>
        <v>7.6</v>
      </c>
      <c r="E9" s="61" t="n">
        <f aca="false">D6+E5*'Control Panel &amp; Inputs'!$C$49</f>
        <v>11.6</v>
      </c>
      <c r="F9" s="61" t="n">
        <f aca="false">E6+F5*'Control Panel &amp; Inputs'!$C$49</f>
        <v>15.6</v>
      </c>
    </row>
    <row r="10" customFormat="false" ht="15" hidden="false" customHeight="false" outlineLevel="0" collapsed="false">
      <c r="A10" s="4" t="s">
        <v>398</v>
      </c>
      <c r="B10" s="39" t="n">
        <f aca="false">B9*'Pro Forma Financials'!D$8</f>
        <v>154035000</v>
      </c>
      <c r="C10" s="39" t="n">
        <f aca="false">C9*'Pro Forma Financials'!D$8</f>
        <v>325185000</v>
      </c>
      <c r="D10" s="39" t="n">
        <f aca="false">D9*'Pro Forma Financials'!D$8</f>
        <v>650370000</v>
      </c>
      <c r="E10" s="39" t="n">
        <f aca="false">E9*'Pro Forma Financials'!D$8</f>
        <v>992670000</v>
      </c>
      <c r="F10" s="39" t="n">
        <f aca="false">F9*'Pro Forma Financials'!D$8</f>
        <v>1334970000</v>
      </c>
    </row>
    <row r="11" customFormat="false" ht="15" hidden="false" customHeight="false" outlineLevel="0" collapsed="false">
      <c r="A11" s="4" t="s">
        <v>399</v>
      </c>
      <c r="B11" s="39" t="n">
        <f aca="false">B9*'Pro Forma Financials'!D$14</f>
        <v>126584804.390928</v>
      </c>
      <c r="C11" s="39" t="n">
        <f aca="false">C9*'Pro Forma Financials'!D$14</f>
        <v>267234587.047514</v>
      </c>
      <c r="D11" s="39" t="n">
        <f aca="false">D9*'Pro Forma Financials'!D$14</f>
        <v>534469174.095028</v>
      </c>
      <c r="E11" s="39" t="n">
        <f aca="false">E9*'Pro Forma Financials'!D$14</f>
        <v>815768739.4082</v>
      </c>
      <c r="F11" s="39" t="n">
        <f aca="false">F9*'Pro Forma Financials'!D$14</f>
        <v>1097068304.72137</v>
      </c>
    </row>
    <row r="12" customFormat="false" ht="15" hidden="false" customHeight="false" outlineLevel="0" collapsed="false">
      <c r="A12" s="4" t="s">
        <v>400</v>
      </c>
      <c r="B12" s="39" t="n">
        <f aca="false">B5*'Control Panel &amp; Inputs'!$C$35</f>
        <v>656000000</v>
      </c>
      <c r="C12" s="39" t="n">
        <f aca="false">C5*'Control Panel &amp; Inputs'!$C$35</f>
        <v>656000000</v>
      </c>
      <c r="D12" s="39" t="n">
        <f aca="false">D5*'Control Panel &amp; Inputs'!$C$35</f>
        <v>1312000000</v>
      </c>
      <c r="E12" s="39" t="n">
        <f aca="false">E5*'Control Panel &amp; Inputs'!$C$35</f>
        <v>1312000000</v>
      </c>
      <c r="F12" s="39" t="n">
        <f aca="false">F5*'Control Panel &amp; Inputs'!$C$35</f>
        <v>1312000000</v>
      </c>
    </row>
    <row r="13" customFormat="false" ht="15" hidden="false" customHeight="false" outlineLevel="0" collapsed="false">
      <c r="A13" s="4" t="s">
        <v>401</v>
      </c>
      <c r="B13" s="39" t="n">
        <f aca="false">B11-B12</f>
        <v>-529415195.609072</v>
      </c>
      <c r="C13" s="39" t="n">
        <f aca="false">C11-C12</f>
        <v>-388765412.952486</v>
      </c>
      <c r="D13" s="39" t="n">
        <f aca="false">D11-D12</f>
        <v>-777530825.904972</v>
      </c>
      <c r="E13" s="39" t="n">
        <f aca="false">E11-E12</f>
        <v>-496231260.5918</v>
      </c>
      <c r="F13" s="39" t="n">
        <f aca="false">F11-F12</f>
        <v>-214931695.278627</v>
      </c>
    </row>
    <row r="14" customFormat="false" ht="15" hidden="false" customHeight="false" outlineLevel="0" collapsed="false">
      <c r="A14" s="4" t="s">
        <v>402</v>
      </c>
      <c r="B14" s="39" t="n">
        <f aca="false">B13</f>
        <v>-529415195.609072</v>
      </c>
      <c r="C14" s="39" t="n">
        <f aca="false">B14+C13</f>
        <v>-918180608.561559</v>
      </c>
      <c r="D14" s="39" t="n">
        <f aca="false">C14+D13</f>
        <v>-1695711434.46653</v>
      </c>
      <c r="E14" s="39" t="n">
        <f aca="false">D14+E13</f>
        <v>-2191942695.05833</v>
      </c>
      <c r="F14" s="39" t="n">
        <f aca="false">E14+F13</f>
        <v>-2406874390.33696</v>
      </c>
    </row>
    <row r="16" customFormat="false" ht="15" hidden="false" customHeight="false" outlineLevel="0" collapsed="false">
      <c r="A16" s="45" t="s">
        <v>403</v>
      </c>
    </row>
    <row r="17" customFormat="false" ht="15" hidden="false" customHeight="false" outlineLevel="0" collapsed="false">
      <c r="A17" s="4" t="s">
        <v>404</v>
      </c>
      <c r="B17" s="47" t="n">
        <f aca="false">MIN(B14:F14)</f>
        <v>-2406874390.33696</v>
      </c>
    </row>
    <row r="18" customFormat="false" ht="15" hidden="false" customHeight="false" outlineLevel="0" collapsed="false">
      <c r="A18" s="4" t="s">
        <v>405</v>
      </c>
      <c r="B18" s="62" t="str">
        <f aca="false">IF(COUNTIF(B14:F14,"&lt;0")=5,"&gt;5",COUNTIF(B14:F14,"&lt;0")+1)</f>
        <v>&gt;5</v>
      </c>
    </row>
    <row r="19" customFormat="false" ht="15" hidden="false" customHeight="false" outlineLevel="0" collapsed="false">
      <c r="A19" s="4" t="s">
        <v>406</v>
      </c>
      <c r="B19" s="63" t="n">
        <f aca="false">F7</f>
        <v>132.224</v>
      </c>
    </row>
    <row r="20" customFormat="false" ht="15" hidden="false" customHeight="false" outlineLevel="0" collapsed="false">
      <c r="A20" s="4" t="s">
        <v>407</v>
      </c>
      <c r="B20" s="62" t="n">
        <f aca="false">F8</f>
        <v>36864</v>
      </c>
    </row>
    <row r="21" customFormat="false" ht="15" hidden="false" customHeight="false" outlineLevel="0" collapsed="false">
      <c r="A21" s="4" t="s">
        <v>408</v>
      </c>
      <c r="B21" s="47" t="n">
        <f aca="false">F6*'Pro Forma Financials'!D$14</f>
        <v>1125198261.25269</v>
      </c>
    </row>
    <row r="22" customFormat="false" ht="15" hidden="false" customHeight="false" outlineLevel="0" collapsed="false">
      <c r="A22" s="4" t="s">
        <v>409</v>
      </c>
      <c r="B22" s="47" t="n">
        <f aca="false">SUM(B12:F12)</f>
        <v>5248000000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2026-07-24T13:20:26Z</dcterms:created>
  <dc:creator>openpyxl</dc:creator>
  <dc:description/>
  <dc:language>en-US</dc:language>
  <cp:lastModifiedBy/>
  <dcterms:modified xsi:type="dcterms:W3CDTF">2026-07-24T13:20:26Z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