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trol Panel &amp; Inputs" sheetId="1" state="visible" r:id="rId3"/>
    <sheet name="Thermal Hydraulics &amp; MLC" sheetId="2" state="visible" r:id="rId4"/>
    <sheet name="5Yr Pro Forma Financials" sheetId="3" state="visible" r:id="rId5"/>
    <sheet name="Sensitivity Matric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<sst xmlns="http://schemas.openxmlformats.org/spreadsheetml/2006/main" count="177" uniqueCount="138">
  <si>
    <t xml:space="preserve">NVIDIA Vera Rubin NVL72 AI Factory — Abu Dhabi</t>
  </si>
  <si>
    <t xml:space="preserve">Master Operational, Environmental &amp; Financial Baseline</t>
  </si>
  <si>
    <t xml:space="preserve">Category</t>
  </si>
  <si>
    <t xml:space="preserve">Parameter</t>
  </si>
  <si>
    <t xml:space="preserve">Value</t>
  </si>
  <si>
    <t xml:space="preserve">Unit</t>
  </si>
  <si>
    <t xml:space="preserve">Notes / Constraints</t>
  </si>
  <si>
    <t xml:space="preserve">Geographic &amp; Climate</t>
  </si>
  <si>
    <t xml:space="preserve">Geo_Location</t>
  </si>
  <si>
    <t xml:space="preserve">Abu Dhabi, UAE</t>
  </si>
  <si>
    <t xml:space="preserve">ASHRAE Climate Zone 1A</t>
  </si>
  <si>
    <t xml:space="preserve">Peak_Ambient_DryBulb</t>
  </si>
  <si>
    <t xml:space="preserve">°C</t>
  </si>
  <si>
    <t xml:space="preserve">Extreme peak dry-bulb temperature</t>
  </si>
  <si>
    <t xml:space="preserve">Coincident_WetBulb</t>
  </si>
  <si>
    <t xml:space="preserve">Peak summer wet-bulb condition</t>
  </si>
  <si>
    <t xml:space="preserve">Technical Specs</t>
  </si>
  <si>
    <t xml:space="preserve">Rack_Count</t>
  </si>
  <si>
    <t xml:space="preserve">racks</t>
  </si>
  <si>
    <t xml:space="preserve">Vera Rubin NVL72 Racks</t>
  </si>
  <si>
    <t xml:space="preserve">Peak_Power_Per_Rack</t>
  </si>
  <si>
    <t xml:space="preserve">kW</t>
  </si>
  <si>
    <t xml:space="preserve">Compute &amp; scale-up busbar load</t>
  </si>
  <si>
    <t xml:space="preserve">Air_Cooled_Load</t>
  </si>
  <si>
    <t xml:space="preserve">1.0 MW Network &amp; NVMe Storage</t>
  </si>
  <si>
    <t xml:space="preserve">Liquid_Supply_Temp_FWS</t>
  </si>
  <si>
    <t xml:space="preserve">S45 Direct-to-Chip Loop</t>
  </si>
  <si>
    <t xml:space="preserve">Target_Annualized_PUE</t>
  </si>
  <si>
    <t xml:space="preserve">High-temp free cooling baseline</t>
  </si>
  <si>
    <t xml:space="preserve">Target_Peak_MLC</t>
  </si>
  <si>
    <t xml:space="preserve">ASHRAE 90.4 Limit = 0.260</t>
  </si>
  <si>
    <t xml:space="preserve">Financial &amp; Fiscal</t>
  </si>
  <si>
    <t xml:space="preserve">Electricity_Tariff</t>
  </si>
  <si>
    <t xml:space="preserve">$/kWh</t>
  </si>
  <si>
    <t xml:space="preserve">Abu Dhabi industrial rate</t>
  </si>
  <si>
    <t xml:space="preserve">CapEx_Initial</t>
  </si>
  <si>
    <t xml:space="preserve">USD</t>
  </si>
  <si>
    <t xml:space="preserve">Total turnkey deployment</t>
  </si>
  <si>
    <t xml:space="preserve">Debt_Ratio</t>
  </si>
  <si>
    <t xml:space="preserve">%</t>
  </si>
  <si>
    <t xml:space="preserve">User adjustable (50% - 80%)</t>
  </si>
  <si>
    <t xml:space="preserve">Interest_Rate</t>
  </si>
  <si>
    <t xml:space="preserve">Senior debt facility rate</t>
  </si>
  <si>
    <t xml:space="preserve">Debt_Tenor</t>
  </si>
  <si>
    <t xml:space="preserve">Years</t>
  </si>
  <si>
    <t xml:space="preserve">Amortization schedule</t>
  </si>
  <si>
    <t xml:space="preserve">UAE_Corporate_Tax</t>
  </si>
  <si>
    <t xml:space="preserve">Statutory corporate tax rate</t>
  </si>
  <si>
    <t xml:space="preserve">GIDLR_EBITDA_Cap</t>
  </si>
  <si>
    <t xml:space="preserve">UAE interest deduction limit</t>
  </si>
  <si>
    <t xml:space="preserve">Revenue Strategy</t>
  </si>
  <si>
    <t xml:space="preserve">Lease_Revenue_70pct</t>
  </si>
  <si>
    <t xml:space="preserve">USD/yr</t>
  </si>
  <si>
    <t xml:space="preserve">70% Bare-metal capacity leases</t>
  </si>
  <si>
    <t xml:space="preserve">Token_Revenue_30pct</t>
  </si>
  <si>
    <t xml:space="preserve">30% Dynamic API token market</t>
  </si>
  <si>
    <t xml:space="preserve">Thermal Hydraulics &amp; ASHRAE 90.4 Compliance Engine</t>
  </si>
  <si>
    <t xml:space="preserve">S45 Closed-Loop Fluid Dynamics &amp; 3-Stage Trim Cooling Metrics</t>
  </si>
  <si>
    <t xml:space="preserve">Metric / Calculation Step</t>
  </si>
  <si>
    <t xml:space="preserve">Formula / Link</t>
  </si>
  <si>
    <t xml:space="preserve">Notes</t>
  </si>
  <si>
    <t xml:space="preserve">Compute IT Load</t>
  </si>
  <si>
    <t xml:space="preserve">32 racks * 227 kW</t>
  </si>
  <si>
    <t xml:space="preserve">Network &amp; Storage Air Load</t>
  </si>
  <si>
    <t xml:space="preserve">1.0 MW continuous air load</t>
  </si>
  <si>
    <t xml:space="preserve">Total Combined IT Load</t>
  </si>
  <si>
    <t xml:space="preserve">Compute + Network/Storage</t>
  </si>
  <si>
    <t xml:space="preserve">S45 Loop Supply Temperature</t>
  </si>
  <si>
    <t xml:space="preserve">Facility Water Supply (FWS)</t>
  </si>
  <si>
    <t xml:space="preserve">S45 Loop Return Temperature</t>
  </si>
  <si>
    <t xml:space="preserve">Facility Water Return (FWR)</t>
  </si>
  <si>
    <t xml:space="preserve">S45 Loop Delta T</t>
  </si>
  <si>
    <t xml:space="preserve">Hydraulic temperature split</t>
  </si>
  <si>
    <t xml:space="preserve">S45 Liquid Flow Rate per Rack</t>
  </si>
  <si>
    <t xml:space="preserve">LPM</t>
  </si>
  <si>
    <t xml:space="preserve">PG25 water/glycol mixture</t>
  </si>
  <si>
    <t xml:space="preserve">Total S45 Cluster Flow Rate</t>
  </si>
  <si>
    <t xml:space="preserve">Primary CDU manifold demand</t>
  </si>
  <si>
    <t xml:space="preserve">Peak Ambient Dry-Bulb</t>
  </si>
  <si>
    <t xml:space="preserve">Abu Dhabi extreme condition</t>
  </si>
  <si>
    <t xml:space="preserve">S45 Peak Rejection Approach</t>
  </si>
  <si>
    <t xml:space="preserve">K</t>
  </si>
  <si>
    <t xml:space="preserve">Positive 5K gradient at 50°C DB</t>
  </si>
  <si>
    <t xml:space="preserve">S45 Dry Cooler / CDU Cooling Power</t>
  </si>
  <si>
    <t xml:space="preserve">CDU pumps &amp; EC fan power</t>
  </si>
  <si>
    <t xml:space="preserve">Air Loop Chiller Cooling Power</t>
  </si>
  <si>
    <t xml:space="preserve">High-ambient screw chillers</t>
  </si>
  <si>
    <t xml:space="preserve">Total Cooling Peak Power</t>
  </si>
  <si>
    <t xml:space="preserve">Combined cooling power</t>
  </si>
  <si>
    <t xml:space="preserve">Peak Mechanical Load Component (MLC)</t>
  </si>
  <si>
    <t xml:space="preserve">Cooling Power / Total IT Load</t>
  </si>
  <si>
    <t xml:space="preserve">ASHRAE 90.4 Zone 1A Limit</t>
  </si>
  <si>
    <t xml:space="preserve">Maximum allowable peak threshold</t>
  </si>
  <si>
    <t xml:space="preserve">Safety Compliance Margin</t>
  </si>
  <si>
    <t xml:space="preserve">Operational margin under Zone 1A</t>
  </si>
  <si>
    <t xml:space="preserve">5-Year Leveraged Financial Model &amp; Debt Amortization</t>
  </si>
  <si>
    <t xml:space="preserve">Includes UAE Corporate Tax (9%) &amp; GIDLR Interest Limits</t>
  </si>
  <si>
    <t xml:space="preserve">Line Item (USD)</t>
  </si>
  <si>
    <t xml:space="preserve">Year 0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</si>
  <si>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</si>
  <si>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</si>
  <si>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</si>
  <si>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</si>
  <si>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</si>
  <si>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Annual Revenue</t>
  </si>
  <si>
    <t xml:space="preserve">Electricity Cost ($0.06/kWh)</t>
  </si>
  <si>
    <t xml:space="preserve">Fixed Non-Power OpEx</t>
  </si>
  <si>
    <t xml:space="preserve">Total Operational Expense (OpEx)</t>
  </si>
  <si>
    <t xml:space="preserve">EBITDA</t>
  </si>
  <si>
    <t xml:space="preserve">EBITDA Margin</t>
  </si>
  <si>
    <t xml:space="preserve">CapEx Initial Outlay</t>
  </si>
  <si>
    <t xml:space="preserve">Debt Financed Amount (80%)</t>
  </si>
  <si>
    <t xml:space="preserve">Equity Outlay (20%)</t>
  </si>
  <si>
    <t xml:space="preserve">Annual Debt Service (P+I)</t>
  </si>
  <si>
    <t xml:space="preserve">Debt Principal Payment</t>
  </si>
  <si>
    <t xml:space="preserve">Interest Expense</t>
  </si>
  <si>
    <t xml:space="preserve">Depreciation (5-Yr Straight Line)</t>
  </si>
  <si>
    <t xml:space="preserve">Taxable Income (EBITDA - Depr - Int)</t>
  </si>
  <si>
    <t xml:space="preserve">UAE Corporate Tax (9%)</t>
  </si>
  <si>
    <t xml:space="preserve">Leveraged Free Cash Flow (FCFE)</t>
  </si>
  <si>
    <t xml:space="preserve">Debt Service Coverage Ratio (DSCR)</t>
  </si>
  <si>
    <t xml:space="preserve">5-Year Leveraged Sensitivity Matrices</t>
  </si>
  <si>
    <t xml:space="preserve">Power Tariff ($0.04 - $0.10/kWh) vs. Debt Ratio (50% - 80%) Impact</t>
  </si>
  <si>
    <t xml:space="preserve">Matrix 1: Leveraged 5-Year IRR (%)</t>
  </si>
  <si>
    <t xml:space="preserve">Power Tariff ($/kWh)</t>
  </si>
  <si>
    <t xml:space="preserve">50% Debt</t>
  </si>
  <si>
    <t xml:space="preserve">60% Debt</t>
  </si>
  <si>
    <t xml:space="preserve">70% Debt</t>
  </si>
  <si>
    <t xml:space="preserve">80% Debt</t>
  </si>
  <si>
    <t xml:space="preserve">$0.04 / kWh</t>
  </si>
  <si>
    <t xml:space="preserve">$0.06 / kWh</t>
  </si>
  <si>
    <t xml:space="preserve">$0.08 / kWh</t>
  </si>
  <si>
    <t xml:space="preserve">$0.10 / kWh</t>
  </si>
  <si>
    <t xml:space="preserve">Matrix 2: Average Debt Service Coverage Ratio (DSCR)</t>
  </si>
  <si>
    <t xml:space="preserve">50% Debt ($16.8M DS)</t>
  </si>
  <si>
    <t xml:space="preserve">60% Debt ($20.1M DS)</t>
  </si>
  <si>
    <t xml:space="preserve">70% Debt ($23.5M DS)</t>
  </si>
  <si>
    <t xml:space="preserve">80% Debt ($26.8M DS)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</si>
</sst>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#,##0.0"/>
    <numFmt numFmtId="167" formatCode="\$#,##0.000"/>
    <numFmt numFmtId="168" formatCode="\$#,##0"/>
    <numFmt numFmtId="169" formatCode="0.0%"/>
    <numFmt numFmtId="170" formatCode="0.000"/>
    <numFmt numFmtId="171" formatCode="0.00&quot;'x'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Calibri"/>
      <family val="0"/>
      <charset val="1"/>
    </font>
    <font>
      <i val="true"/>
      <sz val="11"/>
      <color rgb="FF595959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2"/>
      <color rgb="FF1F4E78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double">
        <color rgb="FF1F4E7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37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4" t="s">
        <v>8</v>
      </c>
      <c r="C5" s="4" t="s">
        <v>9</v>
      </c>
      <c r="D5" s="4"/>
      <c r="E5" s="4" t="s">
        <v>10</v>
      </c>
    </row>
    <row r="6" customFormat="false" ht="15" hidden="false" customHeight="false" outlineLevel="0" collapsed="false">
      <c r="A6" s="4" t="s">
        <v>7</v>
      </c>
      <c r="B6" s="4" t="s">
        <v>11</v>
      </c>
      <c r="C6" s="5" t="n">
        <v>50</v>
      </c>
      <c r="D6" s="4" t="s">
        <v>12</v>
      </c>
      <c r="E6" s="4" t="s">
        <v>13</v>
      </c>
    </row>
    <row r="7" customFormat="false" ht="15" hidden="false" customHeight="false" outlineLevel="0" collapsed="false">
      <c r="A7" s="4" t="s">
        <v>7</v>
      </c>
      <c r="B7" s="4" t="s">
        <v>14</v>
      </c>
      <c r="C7" s="5" t="n">
        <v>30</v>
      </c>
      <c r="D7" s="4" t="s">
        <v>12</v>
      </c>
      <c r="E7" s="4" t="s">
        <v>15</v>
      </c>
    </row>
    <row r="8" customFormat="false" ht="15" hidden="false" customHeight="false" outlineLevel="0" collapsed="false">
      <c r="A8" s="4" t="s">
        <v>16</v>
      </c>
      <c r="B8" s="4" t="s">
        <v>17</v>
      </c>
      <c r="C8" s="5" t="n">
        <v>32</v>
      </c>
      <c r="D8" s="4" t="s">
        <v>18</v>
      </c>
      <c r="E8" s="4" t="s">
        <v>19</v>
      </c>
    </row>
    <row r="9" customFormat="false" ht="15" hidden="false" customHeight="false" outlineLevel="0" collapsed="false">
      <c r="A9" s="4" t="s">
        <v>16</v>
      </c>
      <c r="B9" s="4" t="s">
        <v>20</v>
      </c>
      <c r="C9" s="5" t="n">
        <v>227</v>
      </c>
      <c r="D9" s="4" t="s">
        <v>21</v>
      </c>
      <c r="E9" s="4" t="s">
        <v>22</v>
      </c>
    </row>
    <row r="10" customFormat="false" ht="15" hidden="false" customHeight="false" outlineLevel="0" collapsed="false">
      <c r="A10" s="4" t="s">
        <v>16</v>
      </c>
      <c r="B10" s="4" t="s">
        <v>23</v>
      </c>
      <c r="C10" s="5" t="n">
        <v>1000</v>
      </c>
      <c r="D10" s="4" t="s">
        <v>21</v>
      </c>
      <c r="E10" s="4" t="s">
        <v>24</v>
      </c>
    </row>
    <row r="11" customFormat="false" ht="15" hidden="false" customHeight="false" outlineLevel="0" collapsed="false">
      <c r="A11" s="4" t="s">
        <v>16</v>
      </c>
      <c r="B11" s="4" t="s">
        <v>25</v>
      </c>
      <c r="C11" s="5" t="n">
        <v>45</v>
      </c>
      <c r="D11" s="4" t="s">
        <v>12</v>
      </c>
      <c r="E11" s="4" t="s">
        <v>26</v>
      </c>
    </row>
    <row r="12" customFormat="false" ht="15" hidden="false" customHeight="false" outlineLevel="0" collapsed="false">
      <c r="A12" s="4" t="s">
        <v>16</v>
      </c>
      <c r="B12" s="4" t="s">
        <v>27</v>
      </c>
      <c r="C12" s="6" t="n">
        <v>1.08</v>
      </c>
      <c r="D12" s="4"/>
      <c r="E12" s="4" t="s">
        <v>28</v>
      </c>
    </row>
    <row r="13" customFormat="false" ht="15" hidden="false" customHeight="false" outlineLevel="0" collapsed="false">
      <c r="A13" s="4" t="s">
        <v>16</v>
      </c>
      <c r="B13" s="4" t="s">
        <v>29</v>
      </c>
      <c r="C13" s="6" t="n">
        <v>0.078</v>
      </c>
      <c r="D13" s="4"/>
      <c r="E13" s="4" t="s">
        <v>30</v>
      </c>
    </row>
    <row r="14" customFormat="false" ht="15" hidden="false" customHeight="false" outlineLevel="0" collapsed="false">
      <c r="A14" s="4" t="s">
        <v>31</v>
      </c>
      <c r="B14" s="4" t="s">
        <v>32</v>
      </c>
      <c r="C14" s="7" t="n">
        <v>0.06</v>
      </c>
      <c r="D14" s="4" t="s">
        <v>33</v>
      </c>
      <c r="E14" s="4" t="s">
        <v>34</v>
      </c>
    </row>
    <row r="15" customFormat="false" ht="15" hidden="false" customHeight="false" outlineLevel="0" collapsed="false">
      <c r="A15" s="4" t="s">
        <v>31</v>
      </c>
      <c r="B15" s="4" t="s">
        <v>35</v>
      </c>
      <c r="C15" s="8" t="n">
        <v>139500000</v>
      </c>
      <c r="D15" s="4" t="s">
        <v>36</v>
      </c>
      <c r="E15" s="4" t="s">
        <v>37</v>
      </c>
    </row>
    <row r="16" customFormat="false" ht="15" hidden="false" customHeight="false" outlineLevel="0" collapsed="false">
      <c r="A16" s="4" t="s">
        <v>31</v>
      </c>
      <c r="B16" s="4" t="s">
        <v>38</v>
      </c>
      <c r="C16" s="9" t="n">
        <v>0.8</v>
      </c>
      <c r="D16" s="4" t="s">
        <v>39</v>
      </c>
      <c r="E16" s="4" t="s">
        <v>40</v>
      </c>
    </row>
    <row r="17" customFormat="false" ht="15" hidden="false" customHeight="false" outlineLevel="0" collapsed="false">
      <c r="A17" s="4" t="s">
        <v>31</v>
      </c>
      <c r="B17" s="4" t="s">
        <v>41</v>
      </c>
      <c r="C17" s="9" t="n">
        <v>0.065</v>
      </c>
      <c r="D17" s="4" t="s">
        <v>39</v>
      </c>
      <c r="E17" s="4" t="s">
        <v>42</v>
      </c>
    </row>
    <row r="18" customFormat="false" ht="15" hidden="false" customHeight="false" outlineLevel="0" collapsed="false">
      <c r="A18" s="4" t="s">
        <v>31</v>
      </c>
      <c r="B18" s="4" t="s">
        <v>43</v>
      </c>
      <c r="C18" s="5" t="n">
        <v>5</v>
      </c>
      <c r="D18" s="4" t="s">
        <v>44</v>
      </c>
      <c r="E18" s="4" t="s">
        <v>45</v>
      </c>
    </row>
    <row r="19" customFormat="false" ht="15" hidden="false" customHeight="false" outlineLevel="0" collapsed="false">
      <c r="A19" s="4" t="s">
        <v>31</v>
      </c>
      <c r="B19" s="4" t="s">
        <v>46</v>
      </c>
      <c r="C19" s="9" t="n">
        <v>0.09</v>
      </c>
      <c r="D19" s="4" t="s">
        <v>39</v>
      </c>
      <c r="E19" s="4" t="s">
        <v>47</v>
      </c>
    </row>
    <row r="20" customFormat="false" ht="15" hidden="false" customHeight="false" outlineLevel="0" collapsed="false">
      <c r="A20" s="4" t="s">
        <v>31</v>
      </c>
      <c r="B20" s="4" t="s">
        <v>48</v>
      </c>
      <c r="C20" s="9" t="n">
        <v>0.3</v>
      </c>
      <c r="D20" s="4" t="s">
        <v>39</v>
      </c>
      <c r="E20" s="4" t="s">
        <v>49</v>
      </c>
    </row>
    <row r="21" customFormat="false" ht="15" hidden="false" customHeight="false" outlineLevel="0" collapsed="false">
      <c r="A21" s="4" t="s">
        <v>50</v>
      </c>
      <c r="B21" s="4" t="s">
        <v>51</v>
      </c>
      <c r="C21" s="8" t="n">
        <v>58800000</v>
      </c>
      <c r="D21" s="4" t="s">
        <v>52</v>
      </c>
      <c r="E21" s="4" t="s">
        <v>53</v>
      </c>
    </row>
    <row r="22" customFormat="false" ht="15" hidden="false" customHeight="false" outlineLevel="0" collapsed="false">
      <c r="A22" s="4" t="s">
        <v>50</v>
      </c>
      <c r="B22" s="4" t="s">
        <v>54</v>
      </c>
      <c r="C22" s="8" t="n">
        <v>25200000</v>
      </c>
      <c r="D22" s="4" t="s">
        <v>52</v>
      </c>
      <c r="E22" s="4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60"/>
    <col collapsed="false" customWidth="true" hidden="false" outlineLevel="0" max="3" min="3" style="0" width="14"/>
    <col collapsed="false" customWidth="true" hidden="false" outlineLevel="0" max="4" min="4" style="0" width="36"/>
  </cols>
  <sheetData>
    <row r="1" customFormat="false" ht="19.7" hidden="false" customHeight="false" outlineLevel="0" collapsed="false">
      <c r="A1" s="1" t="s">
        <v>56</v>
      </c>
    </row>
    <row r="2" customFormat="false" ht="15" hidden="false" customHeight="false" outlineLevel="0" collapsed="false">
      <c r="A2" s="2" t="s">
        <v>57</v>
      </c>
    </row>
    <row r="4" customFormat="false" ht="15" hidden="false" customHeight="false" outlineLevel="0" collapsed="false">
      <c r="A4" s="3" t="s">
        <v>58</v>
      </c>
      <c r="B4" s="3" t="s">
        <v>59</v>
      </c>
      <c r="C4" s="3" t="s">
        <v>5</v>
      </c>
      <c r="D4" s="3" t="s">
        <v>60</v>
      </c>
    </row>
    <row r="5" customFormat="false" ht="15" hidden="false" customHeight="false" outlineLevel="0" collapsed="false">
      <c r="A5" s="4" t="s">
        <v>61</v>
      </c>
      <c r="B5" s="10" t="n">
        <f aca="false">'Control Panel &amp; Inputs'!C8*'Control Panel &amp; Inputs'!C9</f>
        <v>7264</v>
      </c>
      <c r="C5" s="4" t="s">
        <v>21</v>
      </c>
      <c r="D5" s="4" t="s">
        <v>62</v>
      </c>
    </row>
    <row r="6" customFormat="false" ht="15" hidden="false" customHeight="false" outlineLevel="0" collapsed="false">
      <c r="A6" s="4" t="s">
        <v>63</v>
      </c>
      <c r="B6" s="10" t="n">
        <f aca="false">'Control Panel &amp; Inputs'!C10</f>
        <v>1000</v>
      </c>
      <c r="C6" s="4" t="s">
        <v>21</v>
      </c>
      <c r="D6" s="4" t="s">
        <v>64</v>
      </c>
    </row>
    <row r="7" customFormat="false" ht="15" hidden="false" customHeight="false" outlineLevel="0" collapsed="false">
      <c r="A7" s="4" t="s">
        <v>65</v>
      </c>
      <c r="B7" s="10" t="n">
        <f aca="false">B5+B6</f>
        <v>8264</v>
      </c>
      <c r="C7" s="4" t="s">
        <v>21</v>
      </c>
      <c r="D7" s="4" t="s">
        <v>66</v>
      </c>
    </row>
    <row r="8" customFormat="false" ht="15" hidden="false" customHeight="false" outlineLevel="0" collapsed="false">
      <c r="A8" s="4" t="s">
        <v>67</v>
      </c>
      <c r="B8" s="11" t="n">
        <v>45</v>
      </c>
      <c r="C8" s="4" t="s">
        <v>12</v>
      </c>
      <c r="D8" s="4" t="s">
        <v>68</v>
      </c>
    </row>
    <row r="9" customFormat="false" ht="15" hidden="false" customHeight="false" outlineLevel="0" collapsed="false">
      <c r="A9" s="4" t="s">
        <v>69</v>
      </c>
      <c r="B9" s="11" t="n">
        <v>55</v>
      </c>
      <c r="C9" s="4" t="s">
        <v>12</v>
      </c>
      <c r="D9" s="4" t="s">
        <v>70</v>
      </c>
    </row>
    <row r="10" customFormat="false" ht="15" hidden="false" customHeight="false" outlineLevel="0" collapsed="false">
      <c r="A10" s="4" t="s">
        <v>71</v>
      </c>
      <c r="B10" s="11" t="n">
        <f aca="false">B9-B8</f>
        <v>10</v>
      </c>
      <c r="C10" s="4" t="s">
        <v>12</v>
      </c>
      <c r="D10" s="4" t="s">
        <v>72</v>
      </c>
    </row>
    <row r="11" customFormat="false" ht="15" hidden="false" customHeight="false" outlineLevel="0" collapsed="false">
      <c r="A11" s="4" t="s">
        <v>73</v>
      </c>
      <c r="B11" s="10" t="n">
        <v>195</v>
      </c>
      <c r="C11" s="4" t="s">
        <v>74</v>
      </c>
      <c r="D11" s="4" t="s">
        <v>75</v>
      </c>
    </row>
    <row r="12" customFormat="false" ht="15" hidden="false" customHeight="false" outlineLevel="0" collapsed="false">
      <c r="A12" s="4" t="s">
        <v>76</v>
      </c>
      <c r="B12" s="10" t="n">
        <f aca="false">B11*'Control Panel &amp; Inputs'!C8</f>
        <v>6240</v>
      </c>
      <c r="C12" s="4" t="s">
        <v>74</v>
      </c>
      <c r="D12" s="4" t="s">
        <v>77</v>
      </c>
    </row>
    <row r="13" customFormat="false" ht="15" hidden="false" customHeight="false" outlineLevel="0" collapsed="false">
      <c r="A13" s="4" t="s">
        <v>78</v>
      </c>
      <c r="B13" s="12" t="n">
        <f aca="false">'Control Panel &amp; Inputs'!C6</f>
        <v>50</v>
      </c>
      <c r="C13" s="4" t="s">
        <v>12</v>
      </c>
      <c r="D13" s="4" t="s">
        <v>79</v>
      </c>
    </row>
    <row r="14" customFormat="false" ht="15" hidden="false" customHeight="false" outlineLevel="0" collapsed="false">
      <c r="A14" s="4" t="s">
        <v>80</v>
      </c>
      <c r="B14" s="11" t="n">
        <f aca="false">B9-B13</f>
        <v>5</v>
      </c>
      <c r="C14" s="4" t="s">
        <v>81</v>
      </c>
      <c r="D14" s="4" t="s">
        <v>82</v>
      </c>
    </row>
    <row r="15" customFormat="false" ht="15" hidden="false" customHeight="false" outlineLevel="0" collapsed="false">
      <c r="A15" s="4" t="s">
        <v>83</v>
      </c>
      <c r="B15" s="10" t="n">
        <f aca="false">B5*0.05</f>
        <v>363.2</v>
      </c>
      <c r="C15" s="4" t="s">
        <v>21</v>
      </c>
      <c r="D15" s="4" t="s">
        <v>84</v>
      </c>
    </row>
    <row r="16" customFormat="false" ht="15" hidden="false" customHeight="false" outlineLevel="0" collapsed="false">
      <c r="A16" s="4" t="s">
        <v>85</v>
      </c>
      <c r="B16" s="10" t="n">
        <f aca="false">B6*0.28</f>
        <v>280</v>
      </c>
      <c r="C16" s="4" t="s">
        <v>21</v>
      </c>
      <c r="D16" s="4" t="s">
        <v>86</v>
      </c>
    </row>
    <row r="17" customFormat="false" ht="15" hidden="false" customHeight="false" outlineLevel="0" collapsed="false">
      <c r="A17" s="4" t="s">
        <v>87</v>
      </c>
      <c r="B17" s="10" t="n">
        <f aca="false">B15+B16</f>
        <v>643.2</v>
      </c>
      <c r="C17" s="4" t="s">
        <v>21</v>
      </c>
      <c r="D17" s="4" t="s">
        <v>88</v>
      </c>
    </row>
    <row r="18" customFormat="false" ht="15" hidden="false" customHeight="false" outlineLevel="0" collapsed="false">
      <c r="A18" s="4" t="s">
        <v>89</v>
      </c>
      <c r="B18" s="11" t="n">
        <f aca="false">B17/B7</f>
        <v>0.0778315585672798</v>
      </c>
      <c r="C18" s="4"/>
      <c r="D18" s="4" t="s">
        <v>90</v>
      </c>
    </row>
    <row r="19" customFormat="false" ht="15" hidden="false" customHeight="false" outlineLevel="0" collapsed="false">
      <c r="A19" s="4" t="s">
        <v>91</v>
      </c>
      <c r="B19" s="13" t="n">
        <v>0.26</v>
      </c>
      <c r="C19" s="4"/>
      <c r="D19" s="4" t="s">
        <v>92</v>
      </c>
    </row>
    <row r="20" customFormat="false" ht="15" hidden="false" customHeight="false" outlineLevel="0" collapsed="false">
      <c r="A20" s="4" t="s">
        <v>93</v>
      </c>
      <c r="B20" s="14" t="n">
        <f aca="false">(B19-B18)/B19</f>
        <v>0.700647851664309</v>
      </c>
      <c r="C20" s="4" t="s">
        <v>39</v>
      </c>
      <c r="D20" s="4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7"/>
    <col collapsed="false" customWidth="true" hidden="false" outlineLevel="0" max="7" min="3" style="0" width="150"/>
  </cols>
  <sheetData>
    <row r="1" customFormat="false" ht="19.7" hidden="false" customHeight="false" outlineLevel="0" collapsed="false">
      <c r="A1" s="1" t="s">
        <v>95</v>
      </c>
    </row>
    <row r="2" customFormat="false" ht="15" hidden="false" customHeight="false" outlineLevel="0" collapsed="false">
      <c r="A2" s="2" t="s">
        <v>96</v>
      </c>
    </row>
    <row r="4" customFormat="false" ht="15" hidden="false" customHeight="false" outlineLevel="0" collapsed="false">
      <c r="A4" s="3" t="s">
        <v>97</v>
      </c>
      <c r="B4" s="3" t="s">
        <v>98</v>
      </c>
      <c r="C4" s="3" t="s">
        <v>99</v>
      </c>
      <c r="D4" s="3" t="s">
        <v>100</v>
      </c>
      <c r="E4" s="3" t="s">
        <v>101</v>
      </c>
      <c r="F4" s="3" t="s">
        <v>102</v>
      </c>
      <c r="G4" s="3" t="s">
        <v>103</v>
      </c>
    </row>
    <row r="5" customFormat="false" ht="15" hidden="false" customHeight="false" outlineLevel="0" collapsed="false">
      <c r="A5" s="15" t="s">
        <v>104</v>
      </c>
      <c r="B5" s="8" t="n">
        <v>0</v>
      </c>
      <c r="C5" s="8" t="n">
        <f aca="false">'Control Panel &amp; Inputs'!C21+'Control Panel &amp; Inputs'!C22</f>
        <v>84000000</v>
      </c>
      <c r="D5" s="8" t="n">
        <f aca="false">C5</f>
        <v>84000000</v>
      </c>
      <c r="E5" s="8" t="n">
        <f aca="false">D5</f>
        <v>84000000</v>
      </c>
      <c r="F5" s="8" t="n">
        <f aca="false">E5</f>
        <v>84000000</v>
      </c>
      <c r="G5" s="8" t="n">
        <f aca="false">F5</f>
        <v>84000000</v>
      </c>
    </row>
    <row r="6" customFormat="false" ht="15" hidden="false" customHeight="false" outlineLevel="0" collapsed="false">
      <c r="A6" s="15" t="s">
        <v>105</v>
      </c>
      <c r="B6" s="8" t="n">
        <v>0</v>
      </c>
      <c r="C6" s="8" t="n">
        <f aca="false">7750*8760*'Control Panel &amp; Inputs'!C14</f>
        <v>4073400</v>
      </c>
      <c r="D6" s="8" t="n">
        <f aca="false">C6</f>
        <v>4073400</v>
      </c>
      <c r="E6" s="8" t="n">
        <f aca="false">D6</f>
        <v>4073400</v>
      </c>
      <c r="F6" s="8" t="n">
        <f aca="false">E6</f>
        <v>4073400</v>
      </c>
      <c r="G6" s="8" t="n">
        <f aca="false">F6</f>
        <v>4073400</v>
      </c>
    </row>
    <row r="7" customFormat="false" ht="15" hidden="false" customHeight="false" outlineLevel="0" collapsed="false">
      <c r="A7" s="15" t="s">
        <v>106</v>
      </c>
      <c r="B7" s="8" t="n">
        <v>0</v>
      </c>
      <c r="C7" s="8" t="n">
        <v>10877000</v>
      </c>
      <c r="D7" s="8" t="n">
        <v>10877000</v>
      </c>
      <c r="E7" s="8" t="n">
        <v>10877000</v>
      </c>
      <c r="F7" s="8" t="n">
        <v>10877000</v>
      </c>
      <c r="G7" s="8" t="n">
        <v>10877000</v>
      </c>
    </row>
    <row r="8" customFormat="false" ht="15" hidden="false" customHeight="false" outlineLevel="0" collapsed="false">
      <c r="A8" s="15" t="s">
        <v>107</v>
      </c>
      <c r="B8" s="8" t="n">
        <v>0</v>
      </c>
      <c r="C8" s="8" t="n">
        <f aca="false">C6+C7</f>
        <v>14950400</v>
      </c>
      <c r="D8" s="8" t="n">
        <f aca="false">D6+D7</f>
        <v>14950400</v>
      </c>
      <c r="E8" s="8" t="n">
        <f aca="false">E6+E7</f>
        <v>14950400</v>
      </c>
      <c r="F8" s="8" t="n">
        <f aca="false">F6+F7</f>
        <v>14950400</v>
      </c>
      <c r="G8" s="8" t="n">
        <f aca="false">G6+G7</f>
        <v>14950400</v>
      </c>
    </row>
    <row r="9" customFormat="false" ht="15" hidden="false" customHeight="false" outlineLevel="0" collapsed="false">
      <c r="A9" s="15" t="s">
        <v>108</v>
      </c>
      <c r="B9" s="8" t="n">
        <v>0</v>
      </c>
      <c r="C9" s="8" t="n">
        <f aca="false">C5-C8</f>
        <v>69049600</v>
      </c>
      <c r="D9" s="8" t="n">
        <f aca="false">D5-D8</f>
        <v>69049600</v>
      </c>
      <c r="E9" s="8" t="n">
        <f aca="false">E5-E8</f>
        <v>69049600</v>
      </c>
      <c r="F9" s="8" t="n">
        <f aca="false">F5-F8</f>
        <v>69049600</v>
      </c>
      <c r="G9" s="8" t="n">
        <f aca="false">G5-G8</f>
        <v>69049600</v>
      </c>
    </row>
    <row r="10" customFormat="false" ht="15" hidden="false" customHeight="false" outlineLevel="0" collapsed="false">
      <c r="A10" s="16" t="s">
        <v>109</v>
      </c>
      <c r="B10" s="9" t="n">
        <v>0</v>
      </c>
      <c r="C10" s="9" t="n">
        <f aca="false">C9/C5</f>
        <v>0.822019047619048</v>
      </c>
      <c r="D10" s="9" t="n">
        <f aca="false">D9/D5</f>
        <v>0.822019047619048</v>
      </c>
      <c r="E10" s="9" t="n">
        <f aca="false">E9/E5</f>
        <v>0.822019047619048</v>
      </c>
      <c r="F10" s="9" t="n">
        <f aca="false">F9/F5</f>
        <v>0.822019047619048</v>
      </c>
      <c r="G10" s="9" t="n">
        <f aca="false">G9/G5</f>
        <v>0.822019047619048</v>
      </c>
    </row>
    <row r="11" customFormat="false" ht="15" hidden="false" customHeight="false" outlineLevel="0" collapsed="false">
      <c r="A11" s="15" t="s">
        <v>110</v>
      </c>
      <c r="B11" s="8" t="n">
        <f aca="false">'Control Panel &amp; Inputs'!C15</f>
        <v>139500000</v>
      </c>
      <c r="C11" s="8" t="n">
        <v>0</v>
      </c>
      <c r="D11" s="8" t="n">
        <v>0</v>
      </c>
      <c r="E11" s="8" t="n">
        <v>0</v>
      </c>
      <c r="F11" s="8" t="n">
        <v>0</v>
      </c>
      <c r="G11" s="8" t="n">
        <v>0</v>
      </c>
    </row>
    <row r="12" customFormat="false" ht="15" hidden="false" customHeight="false" outlineLevel="0" collapsed="false">
      <c r="A12" s="15" t="s">
        <v>111</v>
      </c>
      <c r="B12" s="8" t="n">
        <f aca="false">B11*'Control Panel &amp; Inputs'!C16</f>
        <v>111600000</v>
      </c>
      <c r="C12" s="8" t="n">
        <v>0</v>
      </c>
      <c r="D12" s="8" t="n">
        <v>0</v>
      </c>
      <c r="E12" s="8" t="n">
        <v>0</v>
      </c>
      <c r="F12" s="8" t="n">
        <v>0</v>
      </c>
      <c r="G12" s="8" t="n">
        <v>0</v>
      </c>
    </row>
    <row r="13" customFormat="false" ht="15" hidden="false" customHeight="false" outlineLevel="0" collapsed="false">
      <c r="A13" s="15" t="s">
        <v>112</v>
      </c>
      <c r="B13" s="8" t="n">
        <f aca="false">B11-B12</f>
        <v>27900000</v>
      </c>
      <c r="C13" s="8" t="n">
        <v>0</v>
      </c>
      <c r="D13" s="8" t="n">
        <v>0</v>
      </c>
      <c r="E13" s="8" t="n">
        <v>0</v>
      </c>
      <c r="F13" s="8" t="n">
        <v>0</v>
      </c>
      <c r="G13" s="8" t="n">
        <v>0</v>
      </c>
    </row>
    <row r="14" customFormat="false" ht="15" hidden="false" customHeight="false" outlineLevel="0" collapsed="false">
      <c r="A14" s="15" t="s">
        <v>113</v>
      </c>
      <c r="B14" s="8" t="n">
        <v>0</v>
      </c>
      <c r="C14" s="8" t="n">
        <f aca="false">PPMT('Control Panel &amp; Inputs'!C17,1,'Control Panel &amp; Inputs'!C18,-$B$12)+IPMT('Control Panel &amp; Inputs'!C17,1,'Control Panel &amp; Inputs'!C18,-$B$12)</f>
        <v>26854814.3958795</v>
      </c>
      <c r="D14" s="8" t="n">
        <f aca="false">PPMT('Control Panel &amp; Inputs'!C17,2,'Control Panel &amp; Inputs'!C18,-$B$12)+IPMT('Control Panel &amp; Inputs'!C17,2,'Control Panel &amp; Inputs'!C18,-$B$12)</f>
        <v>26854814.3958795</v>
      </c>
      <c r="E14" s="8" t="n">
        <f aca="false">PPMT('Control Panel &amp; Inputs'!C17,3,'Control Panel &amp; Inputs'!C18,-$B$12)+IPMT('Control Panel &amp; Inputs'!C17,3,'Control Panel &amp; Inputs'!C18,-$B$12)</f>
        <v>26854814.3958795</v>
      </c>
      <c r="F14" s="8" t="n">
        <f aca="false">PPMT('Control Panel &amp; Inputs'!C17,4,'Control Panel &amp; Inputs'!C18,-$B$12)+IPMT('Control Panel &amp; Inputs'!C17,4,'Control Panel &amp; Inputs'!C18,-$B$12)</f>
        <v>26854814.3958795</v>
      </c>
      <c r="G14" s="8" t="n">
        <f aca="false">PPMT('Control Panel &amp; Inputs'!C17,5,'Control Panel &amp; Inputs'!C18,-$B$12)+IPMT('Control Panel &amp; Inputs'!C17,5,'Control Panel &amp; Inputs'!C18,-$B$12)</f>
        <v>26854814.3958795</v>
      </c>
    </row>
    <row r="15" customFormat="false" ht="15" hidden="false" customHeight="false" outlineLevel="0" collapsed="false">
      <c r="A15" s="15" t="s">
        <v>114</v>
      </c>
      <c r="B15" s="8" t="n">
        <v>0</v>
      </c>
      <c r="C15" s="8" t="n">
        <f aca="false">PPMT('Control Panel &amp; Inputs'!C17,1,'Control Panel &amp; Inputs'!C18,-$B$12)</f>
        <v>19600814.3958795</v>
      </c>
      <c r="D15" s="8" t="n">
        <f aca="false">PPMT('Control Panel &amp; Inputs'!C17,2,'Control Panel &amp; Inputs'!C18,-$B$12)</f>
        <v>20874867.3316117</v>
      </c>
      <c r="E15" s="8" t="n">
        <f aca="false">PPMT('Control Panel &amp; Inputs'!C17,3,'Control Panel &amp; Inputs'!C18,-$B$12)</f>
        <v>22231733.7081664</v>
      </c>
      <c r="F15" s="8" t="n">
        <f aca="false">PPMT('Control Panel &amp; Inputs'!C17,4,'Control Panel &amp; Inputs'!C18,-$B$12)</f>
        <v>23676796.3991973</v>
      </c>
      <c r="G15" s="8" t="n">
        <f aca="false">PPMT('Control Panel &amp; Inputs'!C17,5,'Control Panel &amp; Inputs'!C18,-$B$12)</f>
        <v>25215788.1651451</v>
      </c>
    </row>
    <row r="16" customFormat="false" ht="15" hidden="false" customHeight="false" outlineLevel="0" collapsed="false">
      <c r="A16" s="15" t="s">
        <v>115</v>
      </c>
      <c r="B16" s="8" t="n">
        <v>0</v>
      </c>
      <c r="C16" s="8" t="n">
        <f aca="false">IPMT('Control Panel &amp; Inputs'!C17,1,'Control Panel &amp; Inputs'!C18,-$B$12)</f>
        <v>7254000</v>
      </c>
      <c r="D16" s="8" t="n">
        <f aca="false">IPMT('Control Panel &amp; Inputs'!C17,2,'Control Panel &amp; Inputs'!C18,-$B$12)</f>
        <v>5979947.06426783</v>
      </c>
      <c r="E16" s="8" t="n">
        <f aca="false">IPMT('Control Panel &amp; Inputs'!C17,3,'Control Panel &amp; Inputs'!C18,-$B$12)</f>
        <v>4623080.68771308</v>
      </c>
      <c r="F16" s="8" t="n">
        <f aca="false">IPMT('Control Panel &amp; Inputs'!C17,4,'Control Panel &amp; Inputs'!C18,-$B$12)</f>
        <v>3178017.99668225</v>
      </c>
      <c r="G16" s="8" t="n">
        <f aca="false">IPMT('Control Panel &amp; Inputs'!C17,5,'Control Panel &amp; Inputs'!C18,-$B$12)</f>
        <v>1639026.23073443</v>
      </c>
    </row>
    <row r="17" customFormat="false" ht="15" hidden="false" customHeight="false" outlineLevel="0" collapsed="false">
      <c r="A17" s="15" t="s">
        <v>116</v>
      </c>
      <c r="B17" s="8" t="n">
        <v>0</v>
      </c>
      <c r="C17" s="8" t="n">
        <f aca="false">$B$11/5</f>
        <v>27900000</v>
      </c>
      <c r="D17" s="8" t="n">
        <f aca="false">$B$11/5</f>
        <v>27900000</v>
      </c>
      <c r="E17" s="8" t="n">
        <f aca="false">$B$11/5</f>
        <v>27900000</v>
      </c>
      <c r="F17" s="8" t="n">
        <f aca="false">$B$11/5</f>
        <v>27900000</v>
      </c>
      <c r="G17" s="8" t="n">
        <f aca="false">$B$11/5</f>
        <v>27900000</v>
      </c>
    </row>
    <row r="18" customFormat="false" ht="15" hidden="false" customHeight="false" outlineLevel="0" collapsed="false">
      <c r="A18" s="15" t="s">
        <v>117</v>
      </c>
      <c r="B18" s="8" t="n">
        <v>0</v>
      </c>
      <c r="C18" s="8" t="n">
        <f aca="false">C9-C17-C16</f>
        <v>33895600</v>
      </c>
      <c r="D18" s="8" t="n">
        <f aca="false">D9-D17-D16</f>
        <v>35169652.9357322</v>
      </c>
      <c r="E18" s="8" t="n">
        <f aca="false">E9-E17-E16</f>
        <v>36526519.3122869</v>
      </c>
      <c r="F18" s="8" t="n">
        <f aca="false">F9-F17-F16</f>
        <v>37971582.0033177</v>
      </c>
      <c r="G18" s="8" t="n">
        <f aca="false">G9-G17-G16</f>
        <v>39510573.7692656</v>
      </c>
    </row>
    <row r="19" customFormat="false" ht="15" hidden="false" customHeight="false" outlineLevel="0" collapsed="false">
      <c r="A19" s="15" t="s">
        <v>118</v>
      </c>
      <c r="B19" s="8" t="n">
        <v>0</v>
      </c>
      <c r="C19" s="8" t="n">
        <f aca="false">C18*'Control Panel &amp; Inputs'!C19</f>
        <v>3050604</v>
      </c>
      <c r="D19" s="8" t="n">
        <f aca="false">D18*'Control Panel &amp; Inputs'!C19</f>
        <v>3165268.7642159</v>
      </c>
      <c r="E19" s="8" t="n">
        <f aca="false">E18*'Control Panel &amp; Inputs'!C19</f>
        <v>3287386.73810582</v>
      </c>
      <c r="F19" s="8" t="n">
        <f aca="false">F18*'Control Panel &amp; Inputs'!C19</f>
        <v>3417442.3802986</v>
      </c>
      <c r="G19" s="8" t="n">
        <f aca="false">G18*'Control Panel &amp; Inputs'!C19</f>
        <v>3555951.6392339</v>
      </c>
    </row>
    <row r="20" customFormat="false" ht="15" hidden="false" customHeight="false" outlineLevel="0" collapsed="false">
      <c r="A20" s="17" t="s">
        <v>119</v>
      </c>
      <c r="B20" s="18" t="n">
        <f aca="false">-B13</f>
        <v>-27900000</v>
      </c>
      <c r="C20" s="18" t="n">
        <f aca="false">C9-C14-C19</f>
        <v>39144181.6041205</v>
      </c>
      <c r="D20" s="18" t="n">
        <f aca="false">D9-D14-D19</f>
        <v>39029516.8399046</v>
      </c>
      <c r="E20" s="18" t="n">
        <f aca="false">E9-E14-E19</f>
        <v>38907398.8660147</v>
      </c>
      <c r="F20" s="18" t="n">
        <f aca="false">F9-F14-F19</f>
        <v>38777343.2238219</v>
      </c>
      <c r="G20" s="18" t="n">
        <f aca="false">G9-G14-G19</f>
        <v>38638833.9648866</v>
      </c>
    </row>
    <row r="21" customFormat="false" ht="15" hidden="false" customHeight="false" outlineLevel="0" collapsed="false">
      <c r="A21" s="15" t="s">
        <v>120</v>
      </c>
      <c r="B21" s="19" t="n">
        <v>0</v>
      </c>
      <c r="C21" s="19" t="n">
        <f aca="false">C9/C14</f>
        <v>2.57121866426285</v>
      </c>
      <c r="D21" s="19" t="n">
        <f aca="false">D9/D14</f>
        <v>2.57121866426285</v>
      </c>
      <c r="E21" s="19" t="n">
        <f aca="false">E9/E14</f>
        <v>2.57121866426285</v>
      </c>
      <c r="F21" s="19" t="n">
        <f aca="false">F9/F14</f>
        <v>2.57121866426285</v>
      </c>
      <c r="G21" s="19" t="n">
        <f aca="false">G9/G14</f>
        <v>2.57121866426285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5" min="2" style="0" width="24"/>
  </cols>
  <sheetData>
    <row r="1" customFormat="false" ht="19.7" hidden="false" customHeight="false" outlineLevel="0" collapsed="false">
      <c r="A1" s="1" t="s">
        <v>121</v>
      </c>
    </row>
    <row r="2" customFormat="false" ht="15" hidden="false" customHeight="false" outlineLevel="0" collapsed="false">
      <c r="A2" s="2" t="s">
        <v>122</v>
      </c>
    </row>
    <row r="4" customFormat="false" ht="15" hidden="false" customHeight="false" outlineLevel="0" collapsed="false">
      <c r="A4" s="20" t="s">
        <v>123</v>
      </c>
    </row>
    <row r="5" customFormat="false" ht="15" hidden="false" customHeight="false" outlineLevel="0" collapsed="false">
      <c r="A5" s="3" t="s">
        <v>124</v>
      </c>
      <c r="B5" s="3" t="s">
        <v>125</v>
      </c>
      <c r="C5" s="3" t="s">
        <v>126</v>
      </c>
      <c r="D5" s="3" t="s">
        <v>127</v>
      </c>
      <c r="E5" s="3" t="s">
        <v>128</v>
      </c>
    </row>
    <row r="6" customFormat="false" ht="15" hidden="false" customHeight="false" outlineLevel="0" collapsed="false">
      <c r="A6" s="4" t="s">
        <v>129</v>
      </c>
      <c r="B6" s="21" t="n">
        <v>0.486</v>
      </c>
      <c r="C6" s="21" t="n">
        <v>0.614</v>
      </c>
      <c r="D6" s="21" t="n">
        <v>0.821</v>
      </c>
      <c r="E6" s="21" t="n">
        <v>1.418</v>
      </c>
    </row>
    <row r="7" customFormat="false" ht="15" hidden="false" customHeight="false" outlineLevel="0" collapsed="false">
      <c r="A7" s="4" t="s">
        <v>130</v>
      </c>
      <c r="B7" s="21" t="n">
        <v>0.471</v>
      </c>
      <c r="C7" s="21" t="n">
        <v>0.597</v>
      </c>
      <c r="D7" s="21" t="n">
        <v>0.8</v>
      </c>
      <c r="E7" s="21" t="n">
        <v>1.382</v>
      </c>
    </row>
    <row r="8" customFormat="false" ht="15" hidden="false" customHeight="false" outlineLevel="0" collapsed="false">
      <c r="A8" s="4" t="s">
        <v>131</v>
      </c>
      <c r="B8" s="21" t="n">
        <v>0.456</v>
      </c>
      <c r="C8" s="21" t="n">
        <v>0.579</v>
      </c>
      <c r="D8" s="21" t="n">
        <v>0.778</v>
      </c>
      <c r="E8" s="21" t="n">
        <v>1.345</v>
      </c>
    </row>
    <row r="9" customFormat="false" ht="15" hidden="false" customHeight="false" outlineLevel="0" collapsed="false">
      <c r="A9" s="4" t="s">
        <v>132</v>
      </c>
      <c r="B9" s="21" t="n">
        <v>0.442</v>
      </c>
      <c r="C9" s="21" t="n">
        <v>0.562</v>
      </c>
      <c r="D9" s="21" t="n">
        <v>0.756</v>
      </c>
      <c r="E9" s="21" t="n">
        <v>1.308</v>
      </c>
    </row>
    <row r="12" customFormat="false" ht="15" hidden="false" customHeight="false" outlineLevel="0" collapsed="false">
      <c r="A12" s="20" t="s">
        <v>133</v>
      </c>
    </row>
    <row r="13" customFormat="false" ht="15" hidden="false" customHeight="false" outlineLevel="0" collapsed="false">
      <c r="A13" s="3" t="s">
        <v>124</v>
      </c>
      <c r="B13" s="3" t="s">
        <v>134</v>
      </c>
      <c r="C13" s="3" t="s">
        <v>135</v>
      </c>
      <c r="D13" s="3" t="s">
        <v>136</v>
      </c>
      <c r="E13" s="3" t="s">
        <v>137</v>
      </c>
    </row>
    <row r="14" customFormat="false" ht="15" hidden="false" customHeight="false" outlineLevel="0" collapsed="false">
      <c r="A14" s="4" t="s">
        <v>129</v>
      </c>
      <c r="B14" s="22" t="n">
        <v>4.2</v>
      </c>
      <c r="C14" s="22" t="n">
        <v>3.5</v>
      </c>
      <c r="D14" s="22" t="n">
        <v>3</v>
      </c>
      <c r="E14" s="22" t="n">
        <v>2.62</v>
      </c>
    </row>
    <row r="15" customFormat="false" ht="15" hidden="false" customHeight="false" outlineLevel="0" collapsed="false">
      <c r="A15" s="4" t="s">
        <v>130</v>
      </c>
      <c r="B15" s="22" t="n">
        <v>4.12</v>
      </c>
      <c r="C15" s="22" t="n">
        <v>3.43</v>
      </c>
      <c r="D15" s="22" t="n">
        <v>2.94</v>
      </c>
      <c r="E15" s="22" t="n">
        <v>2.58</v>
      </c>
    </row>
    <row r="16" customFormat="false" ht="15" hidden="false" customHeight="false" outlineLevel="0" collapsed="false">
      <c r="A16" s="4" t="s">
        <v>131</v>
      </c>
      <c r="B16" s="22" t="n">
        <v>4.04</v>
      </c>
      <c r="C16" s="22" t="n">
        <v>3.36</v>
      </c>
      <c r="D16" s="22" t="n">
        <v>2.88</v>
      </c>
      <c r="E16" s="22" t="n">
        <v>2.52</v>
      </c>
    </row>
    <row r="17" customFormat="false" ht="15" hidden="false" customHeight="false" outlineLevel="0" collapsed="false">
      <c r="A17" s="4" t="s">
        <v>132</v>
      </c>
      <c r="B17" s="22" t="n">
        <v>3.96</v>
      </c>
      <c r="C17" s="22" t="n">
        <v>3.3</v>
      </c>
      <c r="D17" s="22" t="n">
        <v>2.83</v>
      </c>
      <c r="E17" s="22" t="n">
        <v>2.47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2026-07-23T20:49:05Z</dcterms:created>
  <dc:creator>openpyxl</dc:creator>
  <dc:description/>
  <dc:language>en-US</dc:language>
  <cp:lastModifiedBy/>
  <dcterms:modified xsi:type="dcterms:W3CDTF">2026-07-23T20:49:05Z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