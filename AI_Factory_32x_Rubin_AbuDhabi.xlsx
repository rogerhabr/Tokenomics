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trol Panel &amp; Inputs" sheetId="2" state="visible" r:id="rId4"/>
    <sheet name="Thermal Hydraulics &amp; MLC" sheetId="3" state="visible" r:id="rId5"/>
    <sheet name="5Yr Pro Forma Financials" sheetId="4" state="visible" r:id="rId6"/>
    <sheet name="Unit Economics &amp; KPIs" sheetId="5" state="visible" r:id="rId7"/>
    <sheet name="Sensitivity Engine" sheetId="6" state="visible" r:id="rId8"/>
    <sheet name="Sensitivity Matri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<sst xmlns="http://schemas.openxmlformats.org/spreadsheetml/2006/main" count="433" uniqueCount="300">
  <si>
    <t xml:space="preserve">AI Factory Dashboard — 32x Vera Rubin NVL72, Abu Dhabi</t>
  </si>
  <si>
    <t xml:space="preserve">Headline KPIs, all live-linked; edit assumptions on 'Control Panel &amp; Inputs'</t>
  </si>
  <si>
    <t xml:space="preserve">KPI</t>
  </si>
  <si>
    <t xml:space="preserve">Value</t>
  </si>
  <si>
    <t xml:space="preserve">Unit</t>
  </si>
  <si>
    <t xml:space="preserve">Source Sheet</t>
  </si>
  <si>
    <t xml:space="preserve">Equity IRR (5-Yr, levered)</t>
  </si>
  <si>
    <t xml:space="preserve">%</t>
  </si>
  <si>
    <t xml:space="preserve">5Yr Pro Forma Financials</t>
  </si>
  <si>
    <t xml:space="preserve">Project IRR (5-Yr, unlevered)</t>
  </si>
  <si>
    <t xml:space="preserve">Equity NPV @ hurdle rate</t>
  </si>
  <si>
    <t xml:space="preserve">USD</t>
  </si>
  <si>
    <t xml:space="preserve">MOIC</t>
  </si>
  <si>
    <t xml:space="preserve">x</t>
  </si>
  <si>
    <t xml:space="preserve">Payback Period</t>
  </si>
  <si>
    <t xml:space="preserve">years</t>
  </si>
  <si>
    <t xml:space="preserve">Year 1 Gross Revenue</t>
  </si>
  <si>
    <t xml:space="preserve">Year 1 EBITDA</t>
  </si>
  <si>
    <t xml:space="preserve">Year 1 EBITDA Margin</t>
  </si>
  <si>
    <t xml:space="preserve">Minimum DSCR</t>
  </si>
  <si>
    <t xml:space="preserve">Peak MLC vs ASHRAE 90.4</t>
  </si>
  <si>
    <t xml:space="preserve">(limit 0.260)</t>
  </si>
  <si>
    <t xml:space="preserve">Thermal Hydraulics &amp; MLC</t>
  </si>
  <si>
    <t xml:space="preserve">MLC Compliance Margin</t>
  </si>
  <si>
    <t xml:space="preserve">Annual Facility Energy</t>
  </si>
  <si>
    <t xml:space="preserve">MWh/yr</t>
  </si>
  <si>
    <t xml:space="preserve">Annual Carbon Emissions</t>
  </si>
  <si>
    <t xml:space="preserve">tCO2/yr</t>
  </si>
  <si>
    <t xml:space="preserve">Annual Water Consumption</t>
  </si>
  <si>
    <t xml:space="preserve">m³/yr</t>
  </si>
  <si>
    <t xml:space="preserve">Total GPU Count</t>
  </si>
  <si>
    <t xml:space="preserve">GPUs</t>
  </si>
  <si>
    <t xml:space="preserve">Unit Economics &amp; KPIs</t>
  </si>
  <si>
    <t xml:space="preserve">CapEx per GPU</t>
  </si>
  <si>
    <t xml:space="preserve">$/GPU</t>
  </si>
  <si>
    <t xml:space="preserve">Blended Revenue per Sold GPU-hour</t>
  </si>
  <si>
    <t xml:space="preserve">$/GPU-hr</t>
  </si>
  <si>
    <t xml:space="preserve">Cash Cost per M Tokens</t>
  </si>
  <si>
    <t xml:space="preserve">$/M tok</t>
  </si>
  <si>
    <t xml:space="preserve">Energy Cost as % of Revenue</t>
  </si>
  <si>
    <t xml:space="preserve">Breakeven Power Tariff</t>
  </si>
  <si>
    <t xml:space="preserve">$/kWh</t>
  </si>
  <si>
    <t xml:space="preserve">NVIDIA Vera Rubin NVL72 AI Factory — Abu Dhabi</t>
  </si>
  <si>
    <t xml:space="preserve">Master Control Panel — edit only the yellow Value cells; every other sheet recalculates from them</t>
  </si>
  <si>
    <t xml:space="preserve">Category</t>
  </si>
  <si>
    <t xml:space="preserve">Parameter</t>
  </si>
  <si>
    <t xml:space="preserve">Notes / Constraints</t>
  </si>
  <si>
    <t xml:space="preserve">Geographic &amp; Climate</t>
  </si>
  <si>
    <t xml:space="preserve">Geo_Location</t>
  </si>
  <si>
    <t xml:space="preserve">Abu Dhabi, UAE</t>
  </si>
  <si>
    <t xml:space="preserve">ASHRAE Climate Zone 1A</t>
  </si>
  <si>
    <t xml:space="preserve">Peak_Ambient_DryBulb</t>
  </si>
  <si>
    <t xml:space="preserve">°C</t>
  </si>
  <si>
    <t xml:space="preserve">Extreme peak dry-bulb temperature</t>
  </si>
  <si>
    <t xml:space="preserve">Coincident_WetBulb</t>
  </si>
  <si>
    <t xml:space="preserve">Peak summer wet-bulb condition</t>
  </si>
  <si>
    <t xml:space="preserve">Grid_Carbon_Intensity</t>
  </si>
  <si>
    <t xml:space="preserve">kgCO2/kWh</t>
  </si>
  <si>
    <t xml:space="preserve">Assumption: Abu Dhabi grid avg (Barakah nuclear + gas + solar mix)</t>
  </si>
  <si>
    <t xml:space="preserve">Water_Usage_Effectiveness</t>
  </si>
  <si>
    <t xml:space="preserve">L/kWh</t>
  </si>
  <si>
    <t xml:space="preserve">Assumption: closed-loop dry coolers, minimal adiabatic assist</t>
  </si>
  <si>
    <t xml:space="preserve">Technical Specs</t>
  </si>
  <si>
    <t xml:space="preserve">Rack_Count</t>
  </si>
  <si>
    <t xml:space="preserve">racks</t>
  </si>
  <si>
    <t xml:space="preserve">Vera Rubin NVL72 racks</t>
  </si>
  <si>
    <t xml:space="preserve">GPUs_Per_Rack</t>
  </si>
  <si>
    <t xml:space="preserve">NVL72 = 72 Rubin GPUs per rack</t>
  </si>
  <si>
    <t xml:space="preserve">Peak_Power_Per_Rack</t>
  </si>
  <si>
    <t xml:space="preserve">kW</t>
  </si>
  <si>
    <t xml:space="preserve">Compute &amp; scale-up busbar load</t>
  </si>
  <si>
    <t xml:space="preserve">Air_Cooled_Load</t>
  </si>
  <si>
    <t xml:space="preserve">1.0 MW network &amp; NVMe storage</t>
  </si>
  <si>
    <t xml:space="preserve">Liquid_Supply_Temp_FWS</t>
  </si>
  <si>
    <t xml:space="preserve">S45 direct-to-chip loop</t>
  </si>
  <si>
    <t xml:space="preserve">Target_Annualized_PUE</t>
  </si>
  <si>
    <t xml:space="preserve">Drives facility energy = IT energy x PUE</t>
  </si>
  <si>
    <t xml:space="preserve">Cluster_Utilization</t>
  </si>
  <si>
    <t xml:space="preserve">Assumption: avg power/capacity utilization of the fleet</t>
  </si>
  <si>
    <t xml:space="preserve">Uptime_Availability</t>
  </si>
  <si>
    <t xml:space="preserve">Assumption: contractual availability SLA</t>
  </si>
  <si>
    <t xml:space="preserve">Tokens_Per_GPU_Sec</t>
  </si>
  <si>
    <t xml:space="preserve">tok/s/GPU</t>
  </si>
  <si>
    <t xml:space="preserve">Assumption: blended inference throughput per Rubin GPU</t>
  </si>
  <si>
    <t xml:space="preserve">Token_Fleet_Share</t>
  </si>
  <si>
    <t xml:space="preserve">Share of fleet serving the API token market</t>
  </si>
  <si>
    <t xml:space="preserve">Financial &amp; Fiscal</t>
  </si>
  <si>
    <t xml:space="preserve">Electricity_Tariff</t>
  </si>
  <si>
    <t xml:space="preserve">Abu Dhabi industrial rate (Year 1)</t>
  </si>
  <si>
    <t xml:space="preserve">Tariff_Escalation</t>
  </si>
  <si>
    <t xml:space="preserve">%/yr</t>
  </si>
  <si>
    <t xml:space="preserve">Assumption: annual power price escalation</t>
  </si>
  <si>
    <t xml:space="preserve">CapEx_Initial</t>
  </si>
  <si>
    <t xml:space="preserve">Total turnkey deployment</t>
  </si>
  <si>
    <t xml:space="preserve">Residual_Value_Pct</t>
  </si>
  <si>
    <t xml:space="preserve">Assumption: pre-tax residual recovery of CapEx at end of Year 5</t>
  </si>
  <si>
    <t xml:space="preserve">Debt_Ratio</t>
  </si>
  <si>
    <t xml:space="preserve">User adjustable (50% - 80%)</t>
  </si>
  <si>
    <t xml:space="preserve">Interest_Rate</t>
  </si>
  <si>
    <t xml:space="preserve">Senior debt facility rate</t>
  </si>
  <si>
    <t xml:space="preserve">Debt_Tenor</t>
  </si>
  <si>
    <t xml:space="preserve">Years</t>
  </si>
  <si>
    <t xml:space="preserve">Annual amortization schedule</t>
  </si>
  <si>
    <t xml:space="preserve">UAE_Corporate_Tax</t>
  </si>
  <si>
    <t xml:space="preserve">Statutory corporate tax rate</t>
  </si>
  <si>
    <t xml:space="preserve">GIDLR_EBITDA_Cap</t>
  </si>
  <si>
    <t xml:space="preserve">UAE interest deduction limit — applied via MIN() in the tax calc</t>
  </si>
  <si>
    <t xml:space="preserve">Equity_Discount_Rate</t>
  </si>
  <si>
    <t xml:space="preserve">Assumption: hurdle rate for equity NPV</t>
  </si>
  <si>
    <t xml:space="preserve">Fixed_OpEx_Annual</t>
  </si>
  <si>
    <t xml:space="preserve">USD/yr</t>
  </si>
  <si>
    <t xml:space="preserve">Staff, maintenance, insurance, connectivity (Year 1)</t>
  </si>
  <si>
    <t xml:space="preserve">OpEx_Escalation</t>
  </si>
  <si>
    <t xml:space="preserve">Assumption: annual fixed-OpEx inflation</t>
  </si>
  <si>
    <t xml:space="preserve">Revenue Strategy</t>
  </si>
  <si>
    <t xml:space="preserve">Lease_Revenue_70pct</t>
  </si>
  <si>
    <t xml:space="preserve">70% bare-metal capacity leases (Year 1, pre-ramp)</t>
  </si>
  <si>
    <t xml:space="preserve">Token_Revenue_30pct</t>
  </si>
  <si>
    <t xml:space="preserve">30% dynamic API token market (Year 1, pre-ramp)</t>
  </si>
  <si>
    <t xml:space="preserve">Year1_Ramp_Factor</t>
  </si>
  <si>
    <t xml:space="preserve">Assumption: Year 1 commissioning / fill-up ramp</t>
  </si>
  <si>
    <t xml:space="preserve">Lease_Price_Escalation</t>
  </si>
  <si>
    <t xml:space="preserve">Assumption: lease repricing per year</t>
  </si>
  <si>
    <t xml:space="preserve">Token_Price_Decline</t>
  </si>
  <si>
    <t xml:space="preserve">Core tokenomics: $/token deflation per year</t>
  </si>
  <si>
    <t xml:space="preserve">Token_Volume_Growth</t>
  </si>
  <si>
    <t xml:space="preserve">Token demand growth (partially offsets price decline)</t>
  </si>
  <si>
    <t xml:space="preserve">Legend: yellow cells with blue text are the editable inputs; all other cells in this workbook are formulas.</t>
  </si>
  <si>
    <t xml:space="preserve">Rows marked 'Assumption' are user-supplied estimates, not sourced market data — revisit before investment use.</t>
  </si>
  <si>
    <t xml:space="preserve">Thermal Hydraulics &amp; ASHRAE 90.4 Compliance Engine</t>
  </si>
  <si>
    <t xml:space="preserve">S45 closed-loop fluid dynamics, 3-stage trim cooling, and annual energy / water / carbon footprint</t>
  </si>
  <si>
    <t xml:space="preserve">Metric / Calculation Step</t>
  </si>
  <si>
    <t xml:space="preserve">Notes</t>
  </si>
  <si>
    <t xml:space="preserve">Compute IT Load</t>
  </si>
  <si>
    <t xml:space="preserve">Racks x kW/rack</t>
  </si>
  <si>
    <t xml:space="preserve">Network &amp; Storage Air Load</t>
  </si>
  <si>
    <t xml:space="preserve">Continuous air-cooled load</t>
  </si>
  <si>
    <t xml:space="preserve">Total Combined IT Load</t>
  </si>
  <si>
    <t xml:space="preserve">Compute + network/storage</t>
  </si>
  <si>
    <t xml:space="preserve">S45 Loop Supply Temperature</t>
  </si>
  <si>
    <t xml:space="preserve">Facility Water Supply (FWS)</t>
  </si>
  <si>
    <t xml:space="preserve">S45 Loop Return Temperature</t>
  </si>
  <si>
    <t xml:space="preserve">Facility Water Return (FWR) — assumption</t>
  </si>
  <si>
    <t xml:space="preserve">S45 Loop Delta T</t>
  </si>
  <si>
    <t xml:space="preserve">Hydraulic temperature split</t>
  </si>
  <si>
    <t xml:space="preserve">S45 Liquid Flow Rate per Rack</t>
  </si>
  <si>
    <t xml:space="preserve">LPM</t>
  </si>
  <si>
    <t xml:space="preserve">PG25 water/glycol mixture — vendor spec</t>
  </si>
  <si>
    <t xml:space="preserve">Total S45 Cluster Flow Rate</t>
  </si>
  <si>
    <t xml:space="preserve">Primary CDU manifold demand</t>
  </si>
  <si>
    <t xml:space="preserve">Peak Ambient Dry-Bulb</t>
  </si>
  <si>
    <t xml:space="preserve">Abu Dhabi extreme condition</t>
  </si>
  <si>
    <t xml:space="preserve">S45 Peak Rejection Approach</t>
  </si>
  <si>
    <t xml:space="preserve">K</t>
  </si>
  <si>
    <t xml:space="preserve">FWR minus peak dry-bulb (positive = dry cooling viable)</t>
  </si>
  <si>
    <t xml:space="preserve">S45 Dry Cooler / CDU Cooling Power</t>
  </si>
  <si>
    <t xml:space="preserve">5% of liquid-cooled load — CDU pumps &amp; EC fans (assumption)</t>
  </si>
  <si>
    <t xml:space="preserve">Air Loop Chiller Cooling Power</t>
  </si>
  <si>
    <t xml:space="preserve">28% of air-cooled load — high-ambient screw chillers (assumption)</t>
  </si>
  <si>
    <t xml:space="preserve">Total Cooling Peak Power</t>
  </si>
  <si>
    <t xml:space="preserve">Combined cooling power</t>
  </si>
  <si>
    <t xml:space="preserve">Peak Mechanical Load Component (MLC)</t>
  </si>
  <si>
    <t xml:space="preserve">Cooling power / total IT load</t>
  </si>
  <si>
    <t xml:space="preserve">ASHRAE 90.4 Zone 1A Limit</t>
  </si>
  <si>
    <t xml:space="preserve">Maximum allowable peak MLC threshold</t>
  </si>
  <si>
    <t xml:space="preserve">Safety Compliance Margin</t>
  </si>
  <si>
    <t xml:space="preserve">Operational margin under the Zone 1A limit</t>
  </si>
  <si>
    <t xml:space="preserve">Average Utilized IT Power</t>
  </si>
  <si>
    <t xml:space="preserve">Total IT x utilization x uptime</t>
  </si>
  <si>
    <t xml:space="preserve">Annualized PUE</t>
  </si>
  <si>
    <t xml:space="preserve">Facility energy multiplier on IT energy</t>
  </si>
  <si>
    <t xml:space="preserve">Avg IT power x 8760h x PUE</t>
  </si>
  <si>
    <t xml:space="preserve">Facility kWh x WUE</t>
  </si>
  <si>
    <t xml:space="preserve">Facility kWh x grid intensity</t>
  </si>
  <si>
    <t xml:space="preserve">5-Year Leveraged Financial Model &amp; Debt Amortization</t>
  </si>
  <si>
    <t xml:space="preserve">UAE corporate tax (9%) with GIDLR 30%-of-EBITDA interest cap, revenue ramp &amp; escalations, full debt schedule and equity returns</t>
  </si>
  <si>
    <t xml:space="preserve">Line Item (USD)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</si>
  <si>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</si>
  <si>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</si>
  <si>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</si>
  <si>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</si>
  <si>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</si>
  <si>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</si>
  <si>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Ramp Factor</t>
  </si>
  <si>
    <t xml:space="preserve">Lease Revenue</t>
  </si>
  <si>
    <t xml:space="preserve">Token Revenue</t>
  </si>
  <si>
    <t xml:space="preserve">Gross Annual Revenue</t>
  </si>
  <si>
    <t xml:space="preserve">Effective Power Tariff</t>
  </si>
  <si>
    <t xml:space="preserve">Annual Facility Energy (kWh)</t>
  </si>
  <si>
    <t xml:space="preserve">Electricity Cost</t>
  </si>
  <si>
    <t xml:space="preserve">Fixed Non-Power OpEx</t>
  </si>
  <si>
    <t xml:space="preserve">Total Operational Expense (OpEx)</t>
  </si>
  <si>
    <t xml:space="preserve">EBITDA</t>
  </si>
  <si>
    <t xml:space="preserve">EBITDA Margin</t>
  </si>
  <si>
    <t xml:space="preserve">CapEx Initial Outlay</t>
  </si>
  <si>
    <t xml:space="preserve">Debt Financed Amount</t>
  </si>
  <si>
    <t xml:space="preserve">Equity Outlay</t>
  </si>
  <si>
    <t xml:space="preserve">Beginning Debt Balance</t>
  </si>
  <si>
    <t xml:space="preserve">Annual Debt Service (P+I)</t>
  </si>
  <si>
    <t xml:space="preserve">Interest Expense</t>
  </si>
  <si>
    <t xml:space="preserve">Debt Principal Payment</t>
  </si>
  <si>
    <t xml:space="preserve">Ending Debt Balance</t>
  </si>
  <si>
    <t xml:space="preserve">Depreciation (5-Yr Straight Line)</t>
  </si>
  <si>
    <t xml:space="preserve">GIDLR Deductible Interest</t>
  </si>
  <si>
    <t xml:space="preserve">Taxable Income</t>
  </si>
  <si>
    <t xml:space="preserve">UAE Corporate Tax</t>
  </si>
  <si>
    <t xml:space="preserve">Residual Value Recovery</t>
  </si>
  <si>
    <t xml:space="preserve">Leveraged Free Cash Flow (FCFE)</t>
  </si>
  <si>
    <t xml:space="preserve">Cumulative FCFE</t>
  </si>
  <si>
    <t xml:space="preserve">Debt Service Coverage Ratio (DSCR)</t>
  </si>
  <si>
    <t xml:space="preserve">Unlevered Tax (no interest shield)</t>
  </si>
  <si>
    <t xml:space="preserve">Unlevered Free Cash Flow (FCFF)</t>
  </si>
  <si>
    <t xml:space="preserve">Equity Returns Summary</t>
  </si>
  <si>
    <t xml:space="preserve">MOIC (total distributions / equity)</t>
  </si>
  <si>
    <t xml:space="preserve">Average DSCR</t>
  </si>
  <si>
    <t xml:space="preserve">Unit Economics &amp; Operational KPIs</t>
  </si>
  <si>
    <t xml:space="preserve">GPU-hour and token-level economics (steady-state Year 2, post-ramp) — all cells formula-driven</t>
  </si>
  <si>
    <t xml:space="preserve">Derivation</t>
  </si>
  <si>
    <t xml:space="preserve">Racks x GPUs per rack</t>
  </si>
  <si>
    <t xml:space="preserve">Available GPU-hours / yr</t>
  </si>
  <si>
    <t xml:space="preserve">GPU-hrs</t>
  </si>
  <si>
    <t xml:space="preserve">GPUs x 8760h x uptime</t>
  </si>
  <si>
    <t xml:space="preserve">Sold GPU-hours / yr</t>
  </si>
  <si>
    <t xml:space="preserve">Available x utilization</t>
  </si>
  <si>
    <t xml:space="preserve">Year 2 gross revenue / sold GPU-hours</t>
  </si>
  <si>
    <t xml:space="preserve">Cash OpEx per Sold GPU-hour</t>
  </si>
  <si>
    <t xml:space="preserve">Year 2 total OpEx / sold GPU-hours</t>
  </si>
  <si>
    <t xml:space="preserve">EBITDA per Sold GPU-hour</t>
  </si>
  <si>
    <t xml:space="preserve">Revenue minus cash OpEx per GPU-hour</t>
  </si>
  <si>
    <t xml:space="preserve">Total CapEx / GPU count</t>
  </si>
  <si>
    <t xml:space="preserve">CapEx per MW of IT Load</t>
  </si>
  <si>
    <t xml:space="preserve">$/MW</t>
  </si>
  <si>
    <t xml:space="preserve">Total CapEx / total IT MW</t>
  </si>
  <si>
    <t xml:space="preserve">Revenue per MW of IT Load</t>
  </si>
  <si>
    <t xml:space="preserve">$/MW/yr</t>
  </si>
  <si>
    <t xml:space="preserve">Year 2 revenue / total IT MW</t>
  </si>
  <si>
    <t xml:space="preserve">Annual Token Capacity (token fleet)</t>
  </si>
  <si>
    <t xml:space="preserve">T tokens/yr</t>
  </si>
  <si>
    <t xml:space="preserve">Token-fleet GPUs x tok/s x seconds x utilization x uptime</t>
  </si>
  <si>
    <t xml:space="preserve">Implied Realized Price per M Tokens</t>
  </si>
  <si>
    <t xml:space="preserve">Year 2 token revenue / token capacity</t>
  </si>
  <si>
    <t xml:space="preserve">Token-fleet share of Year 2 OpEx / token capacity</t>
  </si>
  <si>
    <t xml:space="preserve">Year 2 electricity / Year 2 revenue</t>
  </si>
  <si>
    <t xml:space="preserve">Breakeven Power Tariff (EBITDA = 0)</t>
  </si>
  <si>
    <t xml:space="preserve">(Year 2 revenue - fixed OpEx) / annual kWh</t>
  </si>
  <si>
    <t xml:space="preserve">Min Revenue for 1.00x DSCR</t>
  </si>
  <si>
    <t xml:space="preserve">Debt service + Year 2 OpEx</t>
  </si>
  <si>
    <t xml:space="preserve">Revenue Headroom above 1.00x DSCR</t>
  </si>
  <si>
    <t xml:space="preserve">1 - min revenue / Year 2 revenue</t>
  </si>
  <si>
    <t xml:space="preserve">Sensitivity Engine — 16 Live Scenarios</t>
  </si>
  <si>
    <t xml:space="preserve">Each row re-runs the full leveraged model (debt schedule, GIDLR tax cap, residual value) for one tariff x debt-ratio combination</t>
  </si>
  <si>
    <t xml:space="preserve">Scenario</t>
  </si>
  <si>
    <t xml:space="preserve">Tariff $/kWh</t>
  </si>
  <si>
    <t xml:space="preserve">Debt %</t>
  </si>
  <si>
    <t xml:space="preserve">Debt $</t>
  </si>
  <si>
    <t xml:space="preserve">Equity $</t>
  </si>
  <si>
    <t xml:space="preserve">Debt Service</t>
  </si>
  <si>
    <t xml:space="preserve">Y0 FCFE</t>
  </si>
  <si>
    <t xml:space="preserve">Y1 FCFE</t>
  </si>
  <si>
    <t xml:space="preserve">Y2 FCFE</t>
  </si>
  <si>
    <t xml:space="preserve">Y3 FCFE</t>
  </si>
  <si>
    <t xml:space="preserve">Y4 FCFE</t>
  </si>
  <si>
    <t xml:space="preserve">Y5 FCFE</t>
  </si>
  <si>
    <t xml:space="preserve">Equity IRR</t>
  </si>
  <si>
    <t xml:space="preserve">Avg DSCR</t>
  </si>
  <si>
    <t xml:space="preserve">$0.04/kWh @ 50% debt</t>
  </si>
  <si>
    <t xml:space="preserve">$0.04/kWh @ 60% debt</t>
  </si>
  <si>
    <t xml:space="preserve">$0.04/kWh @ 70% debt</t>
  </si>
  <si>
    <t xml:space="preserve">$0.04/kWh @ 80% debt</t>
  </si>
  <si>
    <t xml:space="preserve">$0.06/kWh @ 50% debt</t>
  </si>
  <si>
    <t xml:space="preserve">$0.06/kWh @ 60% debt</t>
  </si>
  <si>
    <t xml:space="preserve">$0.06/kWh @ 70% debt</t>
  </si>
  <si>
    <t xml:space="preserve">$0.06/kWh @ 80% debt</t>
  </si>
  <si>
    <t xml:space="preserve">$0.08/kWh @ 50% debt</t>
  </si>
  <si>
    <t xml:space="preserve">$0.08/kWh @ 60% debt</t>
  </si>
  <si>
    <t xml:space="preserve">$0.08/kWh @ 70% debt</t>
  </si>
  <si>
    <t xml:space="preserve">$0.08/kWh @ 80% debt</t>
  </si>
  <si>
    <t xml:space="preserve">$0.10/kWh @ 50% debt</t>
  </si>
  <si>
    <t xml:space="preserve">$0.10/kWh @ 60% debt</t>
  </si>
  <si>
    <t xml:space="preserve">$0.10/kWh @ 70% debt</t>
  </si>
  <si>
    <t xml:space="preserve">$0.10/kWh @ 80% debt</t>
  </si>
  <si>
    <t xml:space="preserve">Scenario EBITDA Grid (Year 1-5)</t>
  </si>
  <si>
    <t xml:space="preserve">Y1 EBITDA</t>
  </si>
  <si>
    <t xml:space="preserve">Y2 EBITDA</t>
  </si>
  <si>
    <t xml:space="preserve">Y3 EBITDA</t>
  </si>
  <si>
    <t xml:space="preserve">Y4 EBITDA</t>
  </si>
  <si>
    <t xml:space="preserve">Y5 EBITDA</t>
  </si>
  <si>
    <t xml:space="preserve">5-Year Leveraged Sensitivity Matrices</t>
  </si>
  <si>
    <t xml:space="preserve">Power tariff ($0.04 - $0.10/kWh) vs. debt ratio (50% - 80%) — every cell is a live link to the Sensitivity Engine</t>
  </si>
  <si>
    <t xml:space="preserve">Matrix 1: Leveraged 5-Year Equity IRR (%)</t>
  </si>
  <si>
    <t xml:space="preserve">Power Tariff ($/kWh)</t>
  </si>
  <si>
    <t xml:space="preserve">50% Debt</t>
  </si>
  <si>
    <t xml:space="preserve">60% Debt</t>
  </si>
  <si>
    <t xml:space="preserve">70% Debt</t>
  </si>
  <si>
    <t xml:space="preserve">80% Debt</t>
  </si>
  <si>
    <t xml:space="preserve">$0.04 / kWh</t>
  </si>
  <si>
    <t xml:space="preserve">$0.06 / kWh</t>
  </si>
  <si>
    <t xml:space="preserve">$0.08 / kWh</t>
  </si>
  <si>
    <t xml:space="preserve">$0.10 / kWh</t>
  </si>
  <si>
    <t xml:space="preserve">Matrix 2: Average Debt Service Coverage Ratio (DSCR)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</si>
</sst>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%"/>
    <numFmt numFmtId="166" formatCode="\$#,##0"/>
    <numFmt numFmtId="167" formatCode="0.00\x"/>
    <numFmt numFmtId="168" formatCode="0.00&quot; yrs&quot;"/>
    <numFmt numFmtId="169" formatCode="0.000"/>
    <numFmt numFmtId="170" formatCode="#,##0"/>
    <numFmt numFmtId="171" formatCode="\$#,##0.00"/>
    <numFmt numFmtId="172" formatCode="\$#,##0.000"/>
    <numFmt numFmtId="173" formatCode="#,##0.0"/>
    <numFmt numFmtId="174" formatCode="0.00%"/>
    <numFmt numFmtId="175" formatCode="\$#,##0.0000"/>
    <numFmt numFmtId="17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sz val="11"/>
      <color rgb="FF008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2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'5Yr Pro Forma Financials'!B36</f>
        <v>1.26506825092475</v>
      </c>
      <c r="C5" s="6" t="s">
        <v>7</v>
      </c>
      <c r="D5" s="7" t="s">
        <v>8</v>
      </c>
    </row>
    <row r="6" customFormat="false" ht="15" hidden="false" customHeight="false" outlineLevel="0" collapsed="false">
      <c r="A6" s="4" t="s">
        <v>9</v>
      </c>
      <c r="B6" s="5" t="n">
        <f aca="false">'5Yr Pro Forma Financials'!B37</f>
        <v>0.37548919844065</v>
      </c>
      <c r="C6" s="6" t="s">
        <v>7</v>
      </c>
      <c r="D6" s="7" t="s">
        <v>8</v>
      </c>
    </row>
    <row r="7" customFormat="false" ht="15" hidden="false" customHeight="false" outlineLevel="0" collapsed="false">
      <c r="A7" s="4" t="s">
        <v>10</v>
      </c>
      <c r="B7" s="8" t="n">
        <f aca="false">'5Yr Pro Forma Financials'!B38</f>
        <v>109809242.3148</v>
      </c>
      <c r="C7" s="6" t="s">
        <v>11</v>
      </c>
      <c r="D7" s="7" t="s">
        <v>8</v>
      </c>
    </row>
    <row r="8" customFormat="false" ht="15" hidden="false" customHeight="false" outlineLevel="0" collapsed="false">
      <c r="A8" s="4" t="s">
        <v>12</v>
      </c>
      <c r="B8" s="9" t="n">
        <f aca="false">'5Yr Pro Forma Financials'!B39</f>
        <v>7.62528539619498</v>
      </c>
      <c r="C8" s="6" t="s">
        <v>13</v>
      </c>
      <c r="D8" s="7" t="s">
        <v>8</v>
      </c>
    </row>
    <row r="9" customFormat="false" ht="15" hidden="false" customHeight="false" outlineLevel="0" collapsed="false">
      <c r="A9" s="4" t="s">
        <v>14</v>
      </c>
      <c r="B9" s="10" t="n">
        <f aca="false">'5Yr Pro Forma Financials'!B40</f>
        <v>0.8830065001128</v>
      </c>
      <c r="C9" s="6" t="s">
        <v>15</v>
      </c>
      <c r="D9" s="7" t="s">
        <v>8</v>
      </c>
    </row>
    <row r="10" customFormat="false" ht="15" hidden="false" customHeight="false" outlineLevel="0" collapsed="false">
      <c r="A10" s="4" t="s">
        <v>16</v>
      </c>
      <c r="B10" s="11" t="n">
        <f aca="false">'5Yr Pro Forma Financials'!C$8</f>
        <v>75600000</v>
      </c>
      <c r="C10" s="6" t="s">
        <v>11</v>
      </c>
      <c r="D10" s="7" t="s">
        <v>8</v>
      </c>
    </row>
    <row r="11" customFormat="false" ht="15" hidden="false" customHeight="false" outlineLevel="0" collapsed="false">
      <c r="A11" s="4" t="s">
        <v>17</v>
      </c>
      <c r="B11" s="11" t="n">
        <f aca="false">'5Yr Pro Forma Financials'!C$14</f>
        <v>60755550.321856</v>
      </c>
      <c r="C11" s="6" t="s">
        <v>11</v>
      </c>
      <c r="D11" s="7" t="s">
        <v>8</v>
      </c>
    </row>
    <row r="12" customFormat="false" ht="15" hidden="false" customHeight="false" outlineLevel="0" collapsed="false">
      <c r="A12" s="4" t="s">
        <v>18</v>
      </c>
      <c r="B12" s="12" t="n">
        <f aca="false">'5Yr Pro Forma Financials'!C$15</f>
        <v>0.803644845527196</v>
      </c>
      <c r="C12" s="6" t="s">
        <v>7</v>
      </c>
      <c r="D12" s="7" t="s">
        <v>8</v>
      </c>
    </row>
    <row r="13" customFormat="false" ht="15" hidden="false" customHeight="false" outlineLevel="0" collapsed="false">
      <c r="A13" s="4" t="s">
        <v>19</v>
      </c>
      <c r="B13" s="13" t="n">
        <f aca="false">'5Yr Pro Forma Financials'!B41</f>
        <v>2.26237088911618</v>
      </c>
      <c r="C13" s="6" t="s">
        <v>13</v>
      </c>
      <c r="D13" s="7" t="s">
        <v>8</v>
      </c>
    </row>
    <row r="14" customFormat="false" ht="15" hidden="false" customHeight="false" outlineLevel="0" collapsed="false">
      <c r="A14" s="4" t="s">
        <v>20</v>
      </c>
      <c r="B14" s="14" t="n">
        <f aca="false">'Thermal Hydraulics &amp; MLC'!$B$18</f>
        <v>0.0778315585672798</v>
      </c>
      <c r="C14" s="6" t="s">
        <v>21</v>
      </c>
      <c r="D14" s="7" t="s">
        <v>22</v>
      </c>
    </row>
    <row r="15" customFormat="false" ht="15" hidden="false" customHeight="false" outlineLevel="0" collapsed="false">
      <c r="A15" s="4" t="s">
        <v>23</v>
      </c>
      <c r="B15" s="12" t="n">
        <f aca="false">'Thermal Hydraulics &amp; MLC'!$B$20</f>
        <v>0.700647851664309</v>
      </c>
      <c r="C15" s="6" t="s">
        <v>7</v>
      </c>
      <c r="D15" s="7" t="s">
        <v>22</v>
      </c>
    </row>
    <row r="16" customFormat="false" ht="15" hidden="false" customHeight="false" outlineLevel="0" collapsed="false">
      <c r="A16" s="4" t="s">
        <v>24</v>
      </c>
      <c r="B16" s="15" t="n">
        <f aca="false">'Thermal Hydraulics &amp; MLC'!$B$23</f>
        <v>66124.1613024</v>
      </c>
      <c r="C16" s="6" t="s">
        <v>25</v>
      </c>
      <c r="D16" s="7" t="s">
        <v>22</v>
      </c>
    </row>
    <row r="17" customFormat="false" ht="15" hidden="false" customHeight="false" outlineLevel="0" collapsed="false">
      <c r="A17" s="4" t="s">
        <v>26</v>
      </c>
      <c r="B17" s="15" t="n">
        <f aca="false">'Thermal Hydraulics &amp; MLC'!$B$25</f>
        <v>25788.422907936</v>
      </c>
      <c r="C17" s="6" t="s">
        <v>27</v>
      </c>
      <c r="D17" s="7" t="s">
        <v>22</v>
      </c>
    </row>
    <row r="18" customFormat="false" ht="15" hidden="false" customHeight="false" outlineLevel="0" collapsed="false">
      <c r="A18" s="4" t="s">
        <v>28</v>
      </c>
      <c r="B18" s="15" t="n">
        <f aca="false">'Thermal Hydraulics &amp; MLC'!$B$24</f>
        <v>9918.62419536</v>
      </c>
      <c r="C18" s="6" t="s">
        <v>29</v>
      </c>
      <c r="D18" s="7" t="s">
        <v>22</v>
      </c>
    </row>
    <row r="19" customFormat="false" ht="15" hidden="false" customHeight="false" outlineLevel="0" collapsed="false">
      <c r="A19" s="4" t="s">
        <v>30</v>
      </c>
      <c r="B19" s="15" t="n">
        <f aca="false">'Unit Economics &amp; KPIs'!B5</f>
        <v>2304</v>
      </c>
      <c r="C19" s="6" t="s">
        <v>31</v>
      </c>
      <c r="D19" s="7" t="s">
        <v>32</v>
      </c>
    </row>
    <row r="20" customFormat="false" ht="15" hidden="false" customHeight="false" outlineLevel="0" collapsed="false">
      <c r="A20" s="4" t="s">
        <v>33</v>
      </c>
      <c r="B20" s="11" t="n">
        <f aca="false">'Unit Economics &amp; KPIs'!B11</f>
        <v>60546.875</v>
      </c>
      <c r="C20" s="6" t="s">
        <v>34</v>
      </c>
      <c r="D20" s="7" t="s">
        <v>32</v>
      </c>
    </row>
    <row r="21" customFormat="false" ht="15" hidden="false" customHeight="false" outlineLevel="0" collapsed="false">
      <c r="A21" s="4" t="s">
        <v>35</v>
      </c>
      <c r="B21" s="16" t="n">
        <f aca="false">'Unit Economics &amp; KPIs'!B8</f>
        <v>5.01323797112521</v>
      </c>
      <c r="C21" s="6" t="s">
        <v>36</v>
      </c>
      <c r="D21" s="7" t="s">
        <v>32</v>
      </c>
    </row>
    <row r="22" customFormat="false" ht="15" hidden="false" customHeight="false" outlineLevel="0" collapsed="false">
      <c r="A22" s="4" t="s">
        <v>37</v>
      </c>
      <c r="B22" s="16" t="n">
        <f aca="false">'Unit Economics &amp; KPIs'!B16</f>
        <v>0.137869863373019</v>
      </c>
      <c r="C22" s="6" t="s">
        <v>38</v>
      </c>
      <c r="D22" s="7" t="s">
        <v>32</v>
      </c>
    </row>
    <row r="23" customFormat="false" ht="15" hidden="false" customHeight="false" outlineLevel="0" collapsed="false">
      <c r="A23" s="4" t="s">
        <v>39</v>
      </c>
      <c r="B23" s="12" t="n">
        <f aca="false">'Unit Economics &amp; KPIs'!B17</f>
        <v>0.0472894966018917</v>
      </c>
      <c r="C23" s="6" t="s">
        <v>7</v>
      </c>
      <c r="D23" s="7" t="s">
        <v>32</v>
      </c>
    </row>
    <row r="24" customFormat="false" ht="15" hidden="false" customHeight="false" outlineLevel="0" collapsed="false">
      <c r="A24" s="4" t="s">
        <v>40</v>
      </c>
      <c r="B24" s="17" t="n">
        <f aca="false">'Unit Economics &amp; KPIs'!B18</f>
        <v>1.12472791389946</v>
      </c>
      <c r="C24" s="6" t="s">
        <v>41</v>
      </c>
      <c r="D24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9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45</v>
      </c>
      <c r="C4" s="3" t="s">
        <v>3</v>
      </c>
      <c r="D4" s="3" t="s">
        <v>4</v>
      </c>
      <c r="E4" s="3" t="s">
        <v>46</v>
      </c>
    </row>
    <row r="5" customFormat="false" ht="15" hidden="false" customHeight="false" outlineLevel="0" collapsed="false">
      <c r="A5" s="6" t="s">
        <v>47</v>
      </c>
      <c r="B5" s="6" t="s">
        <v>48</v>
      </c>
      <c r="C5" s="18" t="s">
        <v>49</v>
      </c>
      <c r="D5" s="6"/>
      <c r="E5" s="6" t="s">
        <v>50</v>
      </c>
    </row>
    <row r="6" customFormat="false" ht="15" hidden="false" customHeight="false" outlineLevel="0" collapsed="false">
      <c r="A6" s="6" t="s">
        <v>47</v>
      </c>
      <c r="B6" s="6" t="s">
        <v>51</v>
      </c>
      <c r="C6" s="19" t="n">
        <v>50</v>
      </c>
      <c r="D6" s="6" t="s">
        <v>52</v>
      </c>
      <c r="E6" s="6" t="s">
        <v>53</v>
      </c>
    </row>
    <row r="7" customFormat="false" ht="15" hidden="false" customHeight="false" outlineLevel="0" collapsed="false">
      <c r="A7" s="6" t="s">
        <v>47</v>
      </c>
      <c r="B7" s="6" t="s">
        <v>54</v>
      </c>
      <c r="C7" s="19" t="n">
        <v>30</v>
      </c>
      <c r="D7" s="6" t="s">
        <v>52</v>
      </c>
      <c r="E7" s="6" t="s">
        <v>55</v>
      </c>
    </row>
    <row r="8" customFormat="false" ht="15" hidden="false" customHeight="false" outlineLevel="0" collapsed="false">
      <c r="A8" s="6" t="s">
        <v>47</v>
      </c>
      <c r="B8" s="6" t="s">
        <v>56</v>
      </c>
      <c r="C8" s="20" t="n">
        <v>0.39</v>
      </c>
      <c r="D8" s="6" t="s">
        <v>57</v>
      </c>
      <c r="E8" s="6" t="s">
        <v>58</v>
      </c>
    </row>
    <row r="9" customFormat="false" ht="15" hidden="false" customHeight="false" outlineLevel="0" collapsed="false">
      <c r="A9" s="6" t="s">
        <v>47</v>
      </c>
      <c r="B9" s="6" t="s">
        <v>59</v>
      </c>
      <c r="C9" s="20" t="n">
        <v>0.15</v>
      </c>
      <c r="D9" s="6" t="s">
        <v>60</v>
      </c>
      <c r="E9" s="6" t="s">
        <v>61</v>
      </c>
    </row>
    <row r="10" customFormat="false" ht="15" hidden="false" customHeight="false" outlineLevel="0" collapsed="false">
      <c r="A10" s="6" t="s">
        <v>62</v>
      </c>
      <c r="B10" s="6" t="s">
        <v>63</v>
      </c>
      <c r="C10" s="21" t="n">
        <v>32</v>
      </c>
      <c r="D10" s="6" t="s">
        <v>64</v>
      </c>
      <c r="E10" s="6" t="s">
        <v>65</v>
      </c>
    </row>
    <row r="11" customFormat="false" ht="15" hidden="false" customHeight="false" outlineLevel="0" collapsed="false">
      <c r="A11" s="6" t="s">
        <v>62</v>
      </c>
      <c r="B11" s="6" t="s">
        <v>66</v>
      </c>
      <c r="C11" s="21" t="n">
        <v>72</v>
      </c>
      <c r="D11" s="6" t="s">
        <v>31</v>
      </c>
      <c r="E11" s="6" t="s">
        <v>67</v>
      </c>
    </row>
    <row r="12" customFormat="false" ht="15" hidden="false" customHeight="false" outlineLevel="0" collapsed="false">
      <c r="A12" s="6" t="s">
        <v>62</v>
      </c>
      <c r="B12" s="6" t="s">
        <v>68</v>
      </c>
      <c r="C12" s="19" t="n">
        <v>227</v>
      </c>
      <c r="D12" s="6" t="s">
        <v>69</v>
      </c>
      <c r="E12" s="6" t="s">
        <v>70</v>
      </c>
    </row>
    <row r="13" customFormat="false" ht="15" hidden="false" customHeight="false" outlineLevel="0" collapsed="false">
      <c r="A13" s="6" t="s">
        <v>62</v>
      </c>
      <c r="B13" s="6" t="s">
        <v>71</v>
      </c>
      <c r="C13" s="19" t="n">
        <v>1000</v>
      </c>
      <c r="D13" s="6" t="s">
        <v>69</v>
      </c>
      <c r="E13" s="6" t="s">
        <v>72</v>
      </c>
    </row>
    <row r="14" customFormat="false" ht="15" hidden="false" customHeight="false" outlineLevel="0" collapsed="false">
      <c r="A14" s="6" t="s">
        <v>62</v>
      </c>
      <c r="B14" s="6" t="s">
        <v>73</v>
      </c>
      <c r="C14" s="19" t="n">
        <v>45</v>
      </c>
      <c r="D14" s="6" t="s">
        <v>52</v>
      </c>
      <c r="E14" s="6" t="s">
        <v>74</v>
      </c>
    </row>
    <row r="15" customFormat="false" ht="15" hidden="false" customHeight="false" outlineLevel="0" collapsed="false">
      <c r="A15" s="6" t="s">
        <v>62</v>
      </c>
      <c r="B15" s="6" t="s">
        <v>75</v>
      </c>
      <c r="C15" s="20" t="n">
        <v>1.08</v>
      </c>
      <c r="D15" s="6"/>
      <c r="E15" s="6" t="s">
        <v>76</v>
      </c>
    </row>
    <row r="16" customFormat="false" ht="15" hidden="false" customHeight="false" outlineLevel="0" collapsed="false">
      <c r="A16" s="6" t="s">
        <v>62</v>
      </c>
      <c r="B16" s="6" t="s">
        <v>77</v>
      </c>
      <c r="C16" s="22" t="n">
        <v>0.85</v>
      </c>
      <c r="D16" s="6" t="s">
        <v>7</v>
      </c>
      <c r="E16" s="6" t="s">
        <v>78</v>
      </c>
    </row>
    <row r="17" customFormat="false" ht="15" hidden="false" customHeight="false" outlineLevel="0" collapsed="false">
      <c r="A17" s="6" t="s">
        <v>62</v>
      </c>
      <c r="B17" s="6" t="s">
        <v>79</v>
      </c>
      <c r="C17" s="23" t="n">
        <v>0.995</v>
      </c>
      <c r="D17" s="6" t="s">
        <v>7</v>
      </c>
      <c r="E17" s="6" t="s">
        <v>80</v>
      </c>
    </row>
    <row r="18" customFormat="false" ht="15" hidden="false" customHeight="false" outlineLevel="0" collapsed="false">
      <c r="A18" s="6" t="s">
        <v>62</v>
      </c>
      <c r="B18" s="6" t="s">
        <v>81</v>
      </c>
      <c r="C18" s="21" t="n">
        <v>1800</v>
      </c>
      <c r="D18" s="6" t="s">
        <v>82</v>
      </c>
      <c r="E18" s="6" t="s">
        <v>83</v>
      </c>
    </row>
    <row r="19" customFormat="false" ht="15" hidden="false" customHeight="false" outlineLevel="0" collapsed="false">
      <c r="A19" s="6" t="s">
        <v>62</v>
      </c>
      <c r="B19" s="6" t="s">
        <v>84</v>
      </c>
      <c r="C19" s="22" t="n">
        <v>0.3</v>
      </c>
      <c r="D19" s="6" t="s">
        <v>7</v>
      </c>
      <c r="E19" s="6" t="s">
        <v>85</v>
      </c>
    </row>
    <row r="20" customFormat="false" ht="15" hidden="false" customHeight="false" outlineLevel="0" collapsed="false">
      <c r="A20" s="6" t="s">
        <v>86</v>
      </c>
      <c r="B20" s="6" t="s">
        <v>87</v>
      </c>
      <c r="C20" s="24" t="n">
        <v>0.06</v>
      </c>
      <c r="D20" s="6" t="s">
        <v>41</v>
      </c>
      <c r="E20" s="6" t="s">
        <v>88</v>
      </c>
    </row>
    <row r="21" customFormat="false" ht="15" hidden="false" customHeight="false" outlineLevel="0" collapsed="false">
      <c r="A21" s="6" t="s">
        <v>86</v>
      </c>
      <c r="B21" s="6" t="s">
        <v>89</v>
      </c>
      <c r="C21" s="22" t="n">
        <v>0.02</v>
      </c>
      <c r="D21" s="6" t="s">
        <v>90</v>
      </c>
      <c r="E21" s="6" t="s">
        <v>91</v>
      </c>
    </row>
    <row r="22" customFormat="false" ht="15" hidden="false" customHeight="false" outlineLevel="0" collapsed="false">
      <c r="A22" s="6" t="s">
        <v>86</v>
      </c>
      <c r="B22" s="6" t="s">
        <v>92</v>
      </c>
      <c r="C22" s="25" t="n">
        <v>139500000</v>
      </c>
      <c r="D22" s="6" t="s">
        <v>11</v>
      </c>
      <c r="E22" s="6" t="s">
        <v>93</v>
      </c>
    </row>
    <row r="23" customFormat="false" ht="15" hidden="false" customHeight="false" outlineLevel="0" collapsed="false">
      <c r="A23" s="6" t="s">
        <v>86</v>
      </c>
      <c r="B23" s="6" t="s">
        <v>94</v>
      </c>
      <c r="C23" s="22" t="n">
        <v>0.1</v>
      </c>
      <c r="D23" s="6" t="s">
        <v>7</v>
      </c>
      <c r="E23" s="6" t="s">
        <v>95</v>
      </c>
    </row>
    <row r="24" customFormat="false" ht="15" hidden="false" customHeight="false" outlineLevel="0" collapsed="false">
      <c r="A24" s="6" t="s">
        <v>86</v>
      </c>
      <c r="B24" s="6" t="s">
        <v>96</v>
      </c>
      <c r="C24" s="22" t="n">
        <v>0.8</v>
      </c>
      <c r="D24" s="6" t="s">
        <v>7</v>
      </c>
      <c r="E24" s="6" t="s">
        <v>97</v>
      </c>
    </row>
    <row r="25" customFormat="false" ht="15" hidden="false" customHeight="false" outlineLevel="0" collapsed="false">
      <c r="A25" s="6" t="s">
        <v>86</v>
      </c>
      <c r="B25" s="6" t="s">
        <v>98</v>
      </c>
      <c r="C25" s="22" t="n">
        <v>0.065</v>
      </c>
      <c r="D25" s="6" t="s">
        <v>7</v>
      </c>
      <c r="E25" s="6" t="s">
        <v>99</v>
      </c>
    </row>
    <row r="26" customFormat="false" ht="15" hidden="false" customHeight="false" outlineLevel="0" collapsed="false">
      <c r="A26" s="6" t="s">
        <v>86</v>
      </c>
      <c r="B26" s="6" t="s">
        <v>100</v>
      </c>
      <c r="C26" s="21" t="n">
        <v>5</v>
      </c>
      <c r="D26" s="6" t="s">
        <v>101</v>
      </c>
      <c r="E26" s="6" t="s">
        <v>102</v>
      </c>
    </row>
    <row r="27" customFormat="false" ht="15" hidden="false" customHeight="false" outlineLevel="0" collapsed="false">
      <c r="A27" s="6" t="s">
        <v>86</v>
      </c>
      <c r="B27" s="6" t="s">
        <v>103</v>
      </c>
      <c r="C27" s="22" t="n">
        <v>0.09</v>
      </c>
      <c r="D27" s="6" t="s">
        <v>7</v>
      </c>
      <c r="E27" s="6" t="s">
        <v>104</v>
      </c>
    </row>
    <row r="28" customFormat="false" ht="15" hidden="false" customHeight="false" outlineLevel="0" collapsed="false">
      <c r="A28" s="6" t="s">
        <v>86</v>
      </c>
      <c r="B28" s="6" t="s">
        <v>105</v>
      </c>
      <c r="C28" s="22" t="n">
        <v>0.3</v>
      </c>
      <c r="D28" s="6" t="s">
        <v>7</v>
      </c>
      <c r="E28" s="6" t="s">
        <v>106</v>
      </c>
    </row>
    <row r="29" customFormat="false" ht="15" hidden="false" customHeight="false" outlineLevel="0" collapsed="false">
      <c r="A29" s="6" t="s">
        <v>86</v>
      </c>
      <c r="B29" s="6" t="s">
        <v>107</v>
      </c>
      <c r="C29" s="22" t="n">
        <v>0.15</v>
      </c>
      <c r="D29" s="6" t="s">
        <v>7</v>
      </c>
      <c r="E29" s="6" t="s">
        <v>108</v>
      </c>
    </row>
    <row r="30" customFormat="false" ht="15" hidden="false" customHeight="false" outlineLevel="0" collapsed="false">
      <c r="A30" s="6" t="s">
        <v>86</v>
      </c>
      <c r="B30" s="6" t="s">
        <v>109</v>
      </c>
      <c r="C30" s="25" t="n">
        <v>10877000</v>
      </c>
      <c r="D30" s="6" t="s">
        <v>110</v>
      </c>
      <c r="E30" s="6" t="s">
        <v>111</v>
      </c>
    </row>
    <row r="31" customFormat="false" ht="15" hidden="false" customHeight="false" outlineLevel="0" collapsed="false">
      <c r="A31" s="6" t="s">
        <v>86</v>
      </c>
      <c r="B31" s="6" t="s">
        <v>112</v>
      </c>
      <c r="C31" s="22" t="n">
        <v>0.03</v>
      </c>
      <c r="D31" s="6" t="s">
        <v>90</v>
      </c>
      <c r="E31" s="6" t="s">
        <v>113</v>
      </c>
    </row>
    <row r="32" customFormat="false" ht="15" hidden="false" customHeight="false" outlineLevel="0" collapsed="false">
      <c r="A32" s="6" t="s">
        <v>114</v>
      </c>
      <c r="B32" s="6" t="s">
        <v>115</v>
      </c>
      <c r="C32" s="25" t="n">
        <v>58800000</v>
      </c>
      <c r="D32" s="6" t="s">
        <v>110</v>
      </c>
      <c r="E32" s="6" t="s">
        <v>116</v>
      </c>
    </row>
    <row r="33" customFormat="false" ht="15" hidden="false" customHeight="false" outlineLevel="0" collapsed="false">
      <c r="A33" s="6" t="s">
        <v>114</v>
      </c>
      <c r="B33" s="6" t="s">
        <v>117</v>
      </c>
      <c r="C33" s="25" t="n">
        <v>25200000</v>
      </c>
      <c r="D33" s="6" t="s">
        <v>110</v>
      </c>
      <c r="E33" s="6" t="s">
        <v>118</v>
      </c>
    </row>
    <row r="34" customFormat="false" ht="15" hidden="false" customHeight="false" outlineLevel="0" collapsed="false">
      <c r="A34" s="6" t="s">
        <v>114</v>
      </c>
      <c r="B34" s="6" t="s">
        <v>119</v>
      </c>
      <c r="C34" s="22" t="n">
        <v>0.9</v>
      </c>
      <c r="D34" s="6" t="s">
        <v>7</v>
      </c>
      <c r="E34" s="6" t="s">
        <v>120</v>
      </c>
    </row>
    <row r="35" customFormat="false" ht="15" hidden="false" customHeight="false" outlineLevel="0" collapsed="false">
      <c r="A35" s="6" t="s">
        <v>114</v>
      </c>
      <c r="B35" s="6" t="s">
        <v>121</v>
      </c>
      <c r="C35" s="22" t="n">
        <v>0</v>
      </c>
      <c r="D35" s="6" t="s">
        <v>90</v>
      </c>
      <c r="E35" s="6" t="s">
        <v>122</v>
      </c>
    </row>
    <row r="36" customFormat="false" ht="15" hidden="false" customHeight="false" outlineLevel="0" collapsed="false">
      <c r="A36" s="6" t="s">
        <v>114</v>
      </c>
      <c r="B36" s="6" t="s">
        <v>123</v>
      </c>
      <c r="C36" s="22" t="n">
        <v>0.15</v>
      </c>
      <c r="D36" s="6" t="s">
        <v>90</v>
      </c>
      <c r="E36" s="6" t="s">
        <v>124</v>
      </c>
    </row>
    <row r="37" customFormat="false" ht="15" hidden="false" customHeight="false" outlineLevel="0" collapsed="false">
      <c r="A37" s="6" t="s">
        <v>114</v>
      </c>
      <c r="B37" s="6" t="s">
        <v>125</v>
      </c>
      <c r="C37" s="22" t="n">
        <v>0.25</v>
      </c>
      <c r="D37" s="6" t="s">
        <v>90</v>
      </c>
      <c r="E37" s="6" t="s">
        <v>126</v>
      </c>
    </row>
    <row r="39" customFormat="false" ht="15" hidden="false" customHeight="false" outlineLevel="0" collapsed="false">
      <c r="A39" s="2" t="s">
        <v>127</v>
      </c>
    </row>
    <row r="40" customFormat="false" ht="15" hidden="false" customHeight="false" outlineLevel="0" collapsed="false">
      <c r="A40" s="2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129</v>
      </c>
    </row>
    <row r="2" customFormat="false" ht="15" hidden="false" customHeight="false" outlineLevel="0" collapsed="false">
      <c r="A2" s="2" t="s">
        <v>130</v>
      </c>
    </row>
    <row r="4" customFormat="false" ht="15" hidden="false" customHeight="false" outlineLevel="0" collapsed="false">
      <c r="A4" s="3" t="s">
        <v>131</v>
      </c>
      <c r="B4" s="3" t="s">
        <v>3</v>
      </c>
      <c r="C4" s="3" t="s">
        <v>4</v>
      </c>
      <c r="D4" s="3" t="s">
        <v>132</v>
      </c>
    </row>
    <row r="5" customFormat="false" ht="15" hidden="false" customHeight="false" outlineLevel="0" collapsed="false">
      <c r="A5" s="6" t="s">
        <v>133</v>
      </c>
      <c r="B5" s="26" t="n">
        <f aca="false">'Control Panel &amp; Inputs'!$C$10*'Control Panel &amp; Inputs'!$C$12</f>
        <v>7264</v>
      </c>
      <c r="C5" s="6" t="s">
        <v>69</v>
      </c>
      <c r="D5" s="6" t="s">
        <v>134</v>
      </c>
    </row>
    <row r="6" customFormat="false" ht="15" hidden="false" customHeight="false" outlineLevel="0" collapsed="false">
      <c r="A6" s="6" t="s">
        <v>135</v>
      </c>
      <c r="B6" s="26" t="n">
        <f aca="false">'Control Panel &amp; Inputs'!$C$13</f>
        <v>1000</v>
      </c>
      <c r="C6" s="6" t="s">
        <v>69</v>
      </c>
      <c r="D6" s="6" t="s">
        <v>136</v>
      </c>
    </row>
    <row r="7" customFormat="false" ht="15" hidden="false" customHeight="false" outlineLevel="0" collapsed="false">
      <c r="A7" s="6" t="s">
        <v>137</v>
      </c>
      <c r="B7" s="26" t="n">
        <f aca="false">B5+B6</f>
        <v>8264</v>
      </c>
      <c r="C7" s="6" t="s">
        <v>69</v>
      </c>
      <c r="D7" s="6" t="s">
        <v>138</v>
      </c>
    </row>
    <row r="8" customFormat="false" ht="15" hidden="false" customHeight="false" outlineLevel="0" collapsed="false">
      <c r="A8" s="6" t="s">
        <v>139</v>
      </c>
      <c r="B8" s="26" t="n">
        <f aca="false">'Control Panel &amp; Inputs'!$C$14</f>
        <v>45</v>
      </c>
      <c r="C8" s="6" t="s">
        <v>52</v>
      </c>
      <c r="D8" s="6" t="s">
        <v>140</v>
      </c>
    </row>
    <row r="9" customFormat="false" ht="15" hidden="false" customHeight="false" outlineLevel="0" collapsed="false">
      <c r="A9" s="6" t="s">
        <v>141</v>
      </c>
      <c r="B9" s="19" t="n">
        <v>55</v>
      </c>
      <c r="C9" s="6" t="s">
        <v>52</v>
      </c>
      <c r="D9" s="6" t="s">
        <v>142</v>
      </c>
    </row>
    <row r="10" customFormat="false" ht="15" hidden="false" customHeight="false" outlineLevel="0" collapsed="false">
      <c r="A10" s="6" t="s">
        <v>143</v>
      </c>
      <c r="B10" s="26" t="n">
        <f aca="false">B9-B8</f>
        <v>10</v>
      </c>
      <c r="C10" s="6" t="s">
        <v>52</v>
      </c>
      <c r="D10" s="6" t="s">
        <v>144</v>
      </c>
    </row>
    <row r="11" customFormat="false" ht="15" hidden="false" customHeight="false" outlineLevel="0" collapsed="false">
      <c r="A11" s="6" t="s">
        <v>145</v>
      </c>
      <c r="B11" s="19" t="n">
        <v>195</v>
      </c>
      <c r="C11" s="6" t="s">
        <v>146</v>
      </c>
      <c r="D11" s="6" t="s">
        <v>147</v>
      </c>
    </row>
    <row r="12" customFormat="false" ht="15" hidden="false" customHeight="false" outlineLevel="0" collapsed="false">
      <c r="A12" s="6" t="s">
        <v>148</v>
      </c>
      <c r="B12" s="26" t="n">
        <f aca="false">B11*'Control Panel &amp; Inputs'!$C$10</f>
        <v>6240</v>
      </c>
      <c r="C12" s="6" t="s">
        <v>146</v>
      </c>
      <c r="D12" s="6" t="s">
        <v>149</v>
      </c>
    </row>
    <row r="13" customFormat="false" ht="15" hidden="false" customHeight="false" outlineLevel="0" collapsed="false">
      <c r="A13" s="6" t="s">
        <v>150</v>
      </c>
      <c r="B13" s="26" t="n">
        <f aca="false">'Control Panel &amp; Inputs'!$C$6</f>
        <v>50</v>
      </c>
      <c r="C13" s="6" t="s">
        <v>52</v>
      </c>
      <c r="D13" s="6" t="s">
        <v>151</v>
      </c>
    </row>
    <row r="14" customFormat="false" ht="15" hidden="false" customHeight="false" outlineLevel="0" collapsed="false">
      <c r="A14" s="6" t="s">
        <v>152</v>
      </c>
      <c r="B14" s="26" t="n">
        <f aca="false">B9-B13</f>
        <v>5</v>
      </c>
      <c r="C14" s="6" t="s">
        <v>153</v>
      </c>
      <c r="D14" s="6" t="s">
        <v>154</v>
      </c>
    </row>
    <row r="15" customFormat="false" ht="15" hidden="false" customHeight="false" outlineLevel="0" collapsed="false">
      <c r="A15" s="6" t="s">
        <v>155</v>
      </c>
      <c r="B15" s="26" t="n">
        <f aca="false">B5*0.05</f>
        <v>363.2</v>
      </c>
      <c r="C15" s="6" t="s">
        <v>69</v>
      </c>
      <c r="D15" s="6" t="s">
        <v>156</v>
      </c>
    </row>
    <row r="16" customFormat="false" ht="15" hidden="false" customHeight="false" outlineLevel="0" collapsed="false">
      <c r="A16" s="6" t="s">
        <v>157</v>
      </c>
      <c r="B16" s="26" t="n">
        <f aca="false">B6*0.28</f>
        <v>280</v>
      </c>
      <c r="C16" s="6" t="s">
        <v>69</v>
      </c>
      <c r="D16" s="6" t="s">
        <v>158</v>
      </c>
    </row>
    <row r="17" customFormat="false" ht="15" hidden="false" customHeight="false" outlineLevel="0" collapsed="false">
      <c r="A17" s="6" t="s">
        <v>159</v>
      </c>
      <c r="B17" s="26" t="n">
        <f aca="false">B15+B16</f>
        <v>643.2</v>
      </c>
      <c r="C17" s="6" t="s">
        <v>69</v>
      </c>
      <c r="D17" s="6" t="s">
        <v>160</v>
      </c>
    </row>
    <row r="18" customFormat="false" ht="15" hidden="false" customHeight="false" outlineLevel="0" collapsed="false">
      <c r="A18" s="6" t="s">
        <v>161</v>
      </c>
      <c r="B18" s="27" t="n">
        <f aca="false">B17/B7</f>
        <v>0.0778315585672798</v>
      </c>
      <c r="C18" s="6"/>
      <c r="D18" s="6" t="s">
        <v>162</v>
      </c>
    </row>
    <row r="19" customFormat="false" ht="15" hidden="false" customHeight="false" outlineLevel="0" collapsed="false">
      <c r="A19" s="6" t="s">
        <v>163</v>
      </c>
      <c r="B19" s="20" t="n">
        <v>0.26</v>
      </c>
      <c r="C19" s="6"/>
      <c r="D19" s="6" t="s">
        <v>164</v>
      </c>
    </row>
    <row r="20" customFormat="false" ht="15" hidden="false" customHeight="false" outlineLevel="0" collapsed="false">
      <c r="A20" s="6" t="s">
        <v>165</v>
      </c>
      <c r="B20" s="28" t="n">
        <f aca="false">(B19-B18)/B19</f>
        <v>0.700647851664309</v>
      </c>
      <c r="C20" s="6" t="s">
        <v>7</v>
      </c>
      <c r="D20" s="6" t="s">
        <v>166</v>
      </c>
    </row>
    <row r="21" customFormat="false" ht="15" hidden="false" customHeight="false" outlineLevel="0" collapsed="false">
      <c r="A21" s="6" t="s">
        <v>167</v>
      </c>
      <c r="B21" s="26" t="n">
        <f aca="false">B7*'Control Panel &amp; Inputs'!$C$16*'Control Panel &amp; Inputs'!$C$17</f>
        <v>6989.278</v>
      </c>
      <c r="C21" s="6" t="s">
        <v>69</v>
      </c>
      <c r="D21" s="6" t="s">
        <v>168</v>
      </c>
    </row>
    <row r="22" customFormat="false" ht="15" hidden="false" customHeight="false" outlineLevel="0" collapsed="false">
      <c r="A22" s="6" t="s">
        <v>169</v>
      </c>
      <c r="B22" s="27" t="n">
        <f aca="false">'Control Panel &amp; Inputs'!$C$15</f>
        <v>1.08</v>
      </c>
      <c r="C22" s="6"/>
      <c r="D22" s="6" t="s">
        <v>170</v>
      </c>
    </row>
    <row r="23" customFormat="false" ht="15" hidden="false" customHeight="false" outlineLevel="0" collapsed="false">
      <c r="A23" s="6" t="s">
        <v>24</v>
      </c>
      <c r="B23" s="29" t="n">
        <f aca="false">B21*8760*B22/1000</f>
        <v>66124.1613024</v>
      </c>
      <c r="C23" s="6" t="s">
        <v>25</v>
      </c>
      <c r="D23" s="6" t="s">
        <v>171</v>
      </c>
    </row>
    <row r="24" customFormat="false" ht="15" hidden="false" customHeight="false" outlineLevel="0" collapsed="false">
      <c r="A24" s="6" t="s">
        <v>28</v>
      </c>
      <c r="B24" s="29" t="n">
        <f aca="false">B23*'Control Panel &amp; Inputs'!$C$9</f>
        <v>9918.62419536</v>
      </c>
      <c r="C24" s="6" t="s">
        <v>29</v>
      </c>
      <c r="D24" s="6" t="s">
        <v>172</v>
      </c>
    </row>
    <row r="25" customFormat="false" ht="15" hidden="false" customHeight="false" outlineLevel="0" collapsed="false">
      <c r="A25" s="6" t="s">
        <v>26</v>
      </c>
      <c r="B25" s="29" t="n">
        <f aca="false">B23*'Control Panel &amp; Inputs'!$C$8</f>
        <v>25788.422907936</v>
      </c>
      <c r="C25" s="6" t="s">
        <v>27</v>
      </c>
      <c r="D25" s="6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7" min="2" style="0" width="18"/>
  </cols>
  <sheetData>
    <row r="1" customFormat="false" ht="19.7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15" hidden="false" customHeight="false" outlineLevel="0" collapsed="false">
      <c r="A4" s="3" t="s">
        <v>176</v>
      </c>
      <c r="B4" s="3" t="s">
        <v>177</v>
      </c>
      <c r="C4" s="3" t="s">
        <v>178</v>
      </c>
      <c r="D4" s="3" t="s">
        <v>179</v>
      </c>
      <c r="E4" s="3" t="s">
        <v>180</v>
      </c>
      <c r="F4" s="3" t="s">
        <v>181</v>
      </c>
      <c r="G4" s="3" t="s">
        <v>182</v>
      </c>
    </row>
    <row r="5" customFormat="false" ht="15" hidden="false" customHeight="false" outlineLevel="0" collapsed="false">
      <c r="A5" s="30" t="s">
        <v>183</v>
      </c>
      <c r="B5" s="31" t="n">
        <v>0</v>
      </c>
      <c r="C5" s="31" t="n">
        <f aca="false">'Control Panel &amp; Inputs'!$C$34</f>
        <v>0.9</v>
      </c>
      <c r="D5" s="31" t="n">
        <v>1</v>
      </c>
      <c r="E5" s="31" t="n">
        <v>1</v>
      </c>
      <c r="F5" s="31" t="n">
        <v>1</v>
      </c>
      <c r="G5" s="31" t="n">
        <v>1</v>
      </c>
    </row>
    <row r="6" customFormat="false" ht="15" hidden="false" customHeight="false" outlineLevel="0" collapsed="false">
      <c r="A6" s="30" t="s">
        <v>184</v>
      </c>
      <c r="B6" s="32" t="n">
        <v>0</v>
      </c>
      <c r="C6" s="32" t="n">
        <f aca="false">'Control Panel &amp; Inputs'!$C$32*POWER(1+'Control Panel &amp; Inputs'!$C$35,0)*C5</f>
        <v>52920000</v>
      </c>
      <c r="D6" s="32" t="n">
        <f aca="false">'Control Panel &amp; Inputs'!$C$32*POWER(1+'Control Panel &amp; Inputs'!$C$35,1)*D5</f>
        <v>58800000</v>
      </c>
      <c r="E6" s="32" t="n">
        <f aca="false">'Control Panel &amp; Inputs'!$C$32*POWER(1+'Control Panel &amp; Inputs'!$C$35,2)*E5</f>
        <v>58800000</v>
      </c>
      <c r="F6" s="32" t="n">
        <f aca="false">'Control Panel &amp; Inputs'!$C$32*POWER(1+'Control Panel &amp; Inputs'!$C$35,3)*F5</f>
        <v>58800000</v>
      </c>
      <c r="G6" s="32" t="n">
        <f aca="false">'Control Panel &amp; Inputs'!$C$32*POWER(1+'Control Panel &amp; Inputs'!$C$35,4)*G5</f>
        <v>58800000</v>
      </c>
    </row>
    <row r="7" customFormat="false" ht="15" hidden="false" customHeight="false" outlineLevel="0" collapsed="false">
      <c r="A7" s="30" t="s">
        <v>185</v>
      </c>
      <c r="B7" s="32" t="n">
        <v>0</v>
      </c>
      <c r="C7" s="32" t="n">
        <f aca="false">'Control Panel &amp; Inputs'!$C$33*POWER((1+'Control Panel &amp; Inputs'!$C$37)*(1-'Control Panel &amp; Inputs'!$C$36),0)*C5</f>
        <v>22680000</v>
      </c>
      <c r="D7" s="32" t="n">
        <f aca="false">'Control Panel &amp; Inputs'!$C$33*POWER((1+'Control Panel &amp; Inputs'!$C$37)*(1-'Control Panel &amp; Inputs'!$C$36),1)*D5</f>
        <v>26775000</v>
      </c>
      <c r="E7" s="32" t="n">
        <f aca="false">'Control Panel &amp; Inputs'!$C$33*POWER((1+'Control Panel &amp; Inputs'!$C$37)*(1-'Control Panel &amp; Inputs'!$C$36),2)*E5</f>
        <v>28448437.5</v>
      </c>
      <c r="F7" s="32" t="n">
        <f aca="false">'Control Panel &amp; Inputs'!$C$33*POWER((1+'Control Panel &amp; Inputs'!$C$37)*(1-'Control Panel &amp; Inputs'!$C$36),3)*F5</f>
        <v>30226464.84375</v>
      </c>
      <c r="G7" s="32" t="n">
        <f aca="false">'Control Panel &amp; Inputs'!$C$33*POWER((1+'Control Panel &amp; Inputs'!$C$37)*(1-'Control Panel &amp; Inputs'!$C$36),4)*G5</f>
        <v>32115618.8964844</v>
      </c>
    </row>
    <row r="8" customFormat="false" ht="15" hidden="false" customHeight="false" outlineLevel="0" collapsed="false">
      <c r="A8" s="30" t="s">
        <v>186</v>
      </c>
      <c r="B8" s="32" t="n">
        <v>0</v>
      </c>
      <c r="C8" s="32" t="n">
        <f aca="false">C6+C7</f>
        <v>75600000</v>
      </c>
      <c r="D8" s="32" t="n">
        <f aca="false">D6+D7</f>
        <v>85575000</v>
      </c>
      <c r="E8" s="32" t="n">
        <f aca="false">E6+E7</f>
        <v>87248437.5</v>
      </c>
      <c r="F8" s="32" t="n">
        <f aca="false">F6+F7</f>
        <v>89026464.84375</v>
      </c>
      <c r="G8" s="32" t="n">
        <f aca="false">G6+G7</f>
        <v>90915618.8964844</v>
      </c>
    </row>
    <row r="9" customFormat="false" ht="15" hidden="false" customHeight="false" outlineLevel="0" collapsed="false">
      <c r="A9" s="30" t="s">
        <v>187</v>
      </c>
      <c r="B9" s="33" t="n">
        <v>0</v>
      </c>
      <c r="C9" s="33" t="n">
        <f aca="false">'Control Panel &amp; Inputs'!$C$20*POWER(1+'Control Panel &amp; Inputs'!$C$21,0)</f>
        <v>0.06</v>
      </c>
      <c r="D9" s="33" t="n">
        <f aca="false">'Control Panel &amp; Inputs'!$C$20*POWER(1+'Control Panel &amp; Inputs'!$C$21,1)</f>
        <v>0.0612</v>
      </c>
      <c r="E9" s="33" t="n">
        <f aca="false">'Control Panel &amp; Inputs'!$C$20*POWER(1+'Control Panel &amp; Inputs'!$C$21,2)</f>
        <v>0.062424</v>
      </c>
      <c r="F9" s="33" t="n">
        <f aca="false">'Control Panel &amp; Inputs'!$C$20*POWER(1+'Control Panel &amp; Inputs'!$C$21,3)</f>
        <v>0.06367248</v>
      </c>
      <c r="G9" s="33" t="n">
        <f aca="false">'Control Panel &amp; Inputs'!$C$20*POWER(1+'Control Panel &amp; Inputs'!$C$21,4)</f>
        <v>0.0649459296</v>
      </c>
    </row>
    <row r="10" customFormat="false" ht="15" hidden="false" customHeight="false" outlineLevel="0" collapsed="false">
      <c r="A10" s="30" t="s">
        <v>188</v>
      </c>
      <c r="B10" s="34" t="n">
        <v>0</v>
      </c>
      <c r="C10" s="34" t="n">
        <f aca="false">'Thermal Hydraulics &amp; MLC'!$B$23*1000</f>
        <v>66124161.3024</v>
      </c>
      <c r="D10" s="34" t="n">
        <f aca="false">'Thermal Hydraulics &amp; MLC'!$B$23*1000</f>
        <v>66124161.3024</v>
      </c>
      <c r="E10" s="34" t="n">
        <f aca="false">'Thermal Hydraulics &amp; MLC'!$B$23*1000</f>
        <v>66124161.3024</v>
      </c>
      <c r="F10" s="34" t="n">
        <f aca="false">'Thermal Hydraulics &amp; MLC'!$B$23*1000</f>
        <v>66124161.3024</v>
      </c>
      <c r="G10" s="34" t="n">
        <f aca="false">'Thermal Hydraulics &amp; MLC'!$B$23*1000</f>
        <v>66124161.3024</v>
      </c>
    </row>
    <row r="11" customFormat="false" ht="15" hidden="false" customHeight="false" outlineLevel="0" collapsed="false">
      <c r="A11" s="30" t="s">
        <v>189</v>
      </c>
      <c r="B11" s="32" t="n">
        <v>0</v>
      </c>
      <c r="C11" s="32" t="n">
        <f aca="false">C10*C9</f>
        <v>3967449.678144</v>
      </c>
      <c r="D11" s="32" t="n">
        <f aca="false">D10*D9</f>
        <v>4046798.67170688</v>
      </c>
      <c r="E11" s="32" t="n">
        <f aca="false">E10*E9</f>
        <v>4127734.64514102</v>
      </c>
      <c r="F11" s="32" t="n">
        <f aca="false">F10*F9</f>
        <v>4210289.33804384</v>
      </c>
      <c r="G11" s="32" t="n">
        <f aca="false">G10*G9</f>
        <v>4294495.12480471</v>
      </c>
    </row>
    <row r="12" customFormat="false" ht="15" hidden="false" customHeight="false" outlineLevel="0" collapsed="false">
      <c r="A12" s="30" t="s">
        <v>190</v>
      </c>
      <c r="B12" s="32" t="n">
        <v>0</v>
      </c>
      <c r="C12" s="32" t="n">
        <f aca="false">'Control Panel &amp; Inputs'!$C$30*POWER(1+'Control Panel &amp; Inputs'!$C$31,0)</f>
        <v>10877000</v>
      </c>
      <c r="D12" s="32" t="n">
        <f aca="false">'Control Panel &amp; Inputs'!$C$30*POWER(1+'Control Panel &amp; Inputs'!$C$31,1)</f>
        <v>11203310</v>
      </c>
      <c r="E12" s="32" t="n">
        <f aca="false">'Control Panel &amp; Inputs'!$C$30*POWER(1+'Control Panel &amp; Inputs'!$C$31,2)</f>
        <v>11539409.3</v>
      </c>
      <c r="F12" s="32" t="n">
        <f aca="false">'Control Panel &amp; Inputs'!$C$30*POWER(1+'Control Panel &amp; Inputs'!$C$31,3)</f>
        <v>11885591.579</v>
      </c>
      <c r="G12" s="32" t="n">
        <f aca="false">'Control Panel &amp; Inputs'!$C$30*POWER(1+'Control Panel &amp; Inputs'!$C$31,4)</f>
        <v>12242159.32637</v>
      </c>
    </row>
    <row r="13" customFormat="false" ht="15" hidden="false" customHeight="false" outlineLevel="0" collapsed="false">
      <c r="A13" s="30" t="s">
        <v>191</v>
      </c>
      <c r="B13" s="32" t="n">
        <v>0</v>
      </c>
      <c r="C13" s="32" t="n">
        <f aca="false">C11+C12</f>
        <v>14844449.678144</v>
      </c>
      <c r="D13" s="32" t="n">
        <f aca="false">D11+D12</f>
        <v>15250108.6717069</v>
      </c>
      <c r="E13" s="32" t="n">
        <f aca="false">E11+E12</f>
        <v>15667143.945141</v>
      </c>
      <c r="F13" s="32" t="n">
        <f aca="false">F11+F12</f>
        <v>16095880.9170438</v>
      </c>
      <c r="G13" s="32" t="n">
        <f aca="false">G11+G12</f>
        <v>16536654.4511747</v>
      </c>
    </row>
    <row r="14" customFormat="false" ht="15" hidden="false" customHeight="false" outlineLevel="0" collapsed="false">
      <c r="A14" s="30" t="s">
        <v>192</v>
      </c>
      <c r="B14" s="32" t="n">
        <v>0</v>
      </c>
      <c r="C14" s="32" t="n">
        <f aca="false">C8-C13</f>
        <v>60755550.321856</v>
      </c>
      <c r="D14" s="32" t="n">
        <f aca="false">D8-D13</f>
        <v>70324891.3282931</v>
      </c>
      <c r="E14" s="32" t="n">
        <f aca="false">E8-E13</f>
        <v>71581293.554859</v>
      </c>
      <c r="F14" s="32" t="n">
        <f aca="false">F8-F13</f>
        <v>72930583.9267062</v>
      </c>
      <c r="G14" s="32" t="n">
        <f aca="false">G8-G13</f>
        <v>74378964.4453097</v>
      </c>
    </row>
    <row r="15" customFormat="false" ht="15" hidden="false" customHeight="false" outlineLevel="0" collapsed="false">
      <c r="A15" s="30" t="s">
        <v>193</v>
      </c>
      <c r="B15" s="31" t="n">
        <v>0</v>
      </c>
      <c r="C15" s="31" t="n">
        <f aca="false">C14/C8</f>
        <v>0.803644845527196</v>
      </c>
      <c r="D15" s="31" t="n">
        <f aca="false">D14/D8</f>
        <v>0.821792478273948</v>
      </c>
      <c r="E15" s="31" t="n">
        <f aca="false">E14/E8</f>
        <v>0.820430664501688</v>
      </c>
      <c r="F15" s="31" t="n">
        <f aca="false">F14/F8</f>
        <v>0.819201167368673</v>
      </c>
      <c r="G15" s="31" t="n">
        <f aca="false">G14/G8</f>
        <v>0.818109862178872</v>
      </c>
    </row>
    <row r="16" customFormat="false" ht="15" hidden="false" customHeight="false" outlineLevel="0" collapsed="false">
      <c r="A16" s="30" t="s">
        <v>194</v>
      </c>
      <c r="B16" s="32" t="n">
        <f aca="false">'Control Panel &amp; Inputs'!$C$22</f>
        <v>139500000</v>
      </c>
      <c r="C16" s="32" t="n">
        <v>0</v>
      </c>
      <c r="D16" s="32" t="n">
        <v>0</v>
      </c>
      <c r="E16" s="32" t="n">
        <v>0</v>
      </c>
      <c r="F16" s="32" t="n">
        <v>0</v>
      </c>
      <c r="G16" s="32" t="n">
        <v>0</v>
      </c>
    </row>
    <row r="17" customFormat="false" ht="15" hidden="false" customHeight="false" outlineLevel="0" collapsed="false">
      <c r="A17" s="30" t="s">
        <v>195</v>
      </c>
      <c r="B17" s="32" t="n">
        <f aca="false">B16*'Control Panel &amp; Inputs'!$C$24</f>
        <v>111600000</v>
      </c>
      <c r="C17" s="32" t="n">
        <v>0</v>
      </c>
      <c r="D17" s="32" t="n">
        <v>0</v>
      </c>
      <c r="E17" s="32" t="n">
        <v>0</v>
      </c>
      <c r="F17" s="32" t="n">
        <v>0</v>
      </c>
      <c r="G17" s="32" t="n">
        <v>0</v>
      </c>
    </row>
    <row r="18" customFormat="false" ht="15" hidden="false" customHeight="false" outlineLevel="0" collapsed="false">
      <c r="A18" s="30" t="s">
        <v>196</v>
      </c>
      <c r="B18" s="32" t="n">
        <f aca="false">B16-B17</f>
        <v>27900000</v>
      </c>
      <c r="C18" s="32" t="n">
        <v>0</v>
      </c>
      <c r="D18" s="32" t="n">
        <v>0</v>
      </c>
      <c r="E18" s="32" t="n">
        <v>0</v>
      </c>
      <c r="F18" s="32" t="n">
        <v>0</v>
      </c>
      <c r="G18" s="32" t="n">
        <v>0</v>
      </c>
    </row>
    <row r="19" customFormat="false" ht="15" hidden="false" customHeight="false" outlineLevel="0" collapsed="false">
      <c r="A19" s="30" t="s">
        <v>197</v>
      </c>
      <c r="B19" s="32" t="n">
        <v>0</v>
      </c>
      <c r="C19" s="32" t="n">
        <f aca="false">B17</f>
        <v>111600000</v>
      </c>
      <c r="D19" s="32" t="n">
        <f aca="false">C23</f>
        <v>91999185.6041205</v>
      </c>
      <c r="E19" s="32" t="n">
        <f aca="false">D23</f>
        <v>71124318.2725088</v>
      </c>
      <c r="F19" s="32" t="n">
        <f aca="false">E23</f>
        <v>48892584.5643424</v>
      </c>
      <c r="G19" s="32" t="n">
        <f aca="false">F23</f>
        <v>25215788.1651451</v>
      </c>
    </row>
    <row r="20" customFormat="false" ht="15" hidden="false" customHeight="false" outlineLevel="0" collapsed="false">
      <c r="A20" s="30" t="s">
        <v>198</v>
      </c>
      <c r="B20" s="32" t="n">
        <v>0</v>
      </c>
      <c r="C20" s="32" t="n">
        <f aca="false">-PMT('Control Panel &amp; Inputs'!$C$25,'Control Panel &amp; Inputs'!$C$26,B17)</f>
        <v>26854814.3958795</v>
      </c>
      <c r="D20" s="32" t="n">
        <f aca="false">-PMT('Control Panel &amp; Inputs'!$C$25,'Control Panel &amp; Inputs'!$C$26,B17)</f>
        <v>26854814.3958795</v>
      </c>
      <c r="E20" s="32" t="n">
        <f aca="false">-PMT('Control Panel &amp; Inputs'!$C$25,'Control Panel &amp; Inputs'!$C$26,B17)</f>
        <v>26854814.3958795</v>
      </c>
      <c r="F20" s="32" t="n">
        <f aca="false">-PMT('Control Panel &amp; Inputs'!$C$25,'Control Panel &amp; Inputs'!$C$26,B17)</f>
        <v>26854814.3958795</v>
      </c>
      <c r="G20" s="32" t="n">
        <f aca="false">-PMT('Control Panel &amp; Inputs'!$C$25,'Control Panel &amp; Inputs'!$C$26,B17)</f>
        <v>26854814.3958795</v>
      </c>
    </row>
    <row r="21" customFormat="false" ht="15" hidden="false" customHeight="false" outlineLevel="0" collapsed="false">
      <c r="A21" s="30" t="s">
        <v>199</v>
      </c>
      <c r="B21" s="32" t="n">
        <v>0</v>
      </c>
      <c r="C21" s="32" t="n">
        <f aca="false">C19*'Control Panel &amp; Inputs'!$C$25</f>
        <v>7254000</v>
      </c>
      <c r="D21" s="32" t="n">
        <f aca="false">D19*'Control Panel &amp; Inputs'!$C$25</f>
        <v>5979947.06426783</v>
      </c>
      <c r="E21" s="32" t="n">
        <f aca="false">E19*'Control Panel &amp; Inputs'!$C$25</f>
        <v>4623080.68771307</v>
      </c>
      <c r="F21" s="32" t="n">
        <f aca="false">F19*'Control Panel &amp; Inputs'!$C$25</f>
        <v>3178017.99668225</v>
      </c>
      <c r="G21" s="32" t="n">
        <f aca="false">G19*'Control Panel &amp; Inputs'!$C$25</f>
        <v>1639026.23073443</v>
      </c>
    </row>
    <row r="22" customFormat="false" ht="15" hidden="false" customHeight="false" outlineLevel="0" collapsed="false">
      <c r="A22" s="30" t="s">
        <v>200</v>
      </c>
      <c r="B22" s="32" t="n">
        <v>0</v>
      </c>
      <c r="C22" s="32" t="n">
        <f aca="false">C20-C21</f>
        <v>19600814.3958795</v>
      </c>
      <c r="D22" s="32" t="n">
        <f aca="false">D20-D21</f>
        <v>20874867.3316117</v>
      </c>
      <c r="E22" s="32" t="n">
        <f aca="false">E20-E21</f>
        <v>22231733.7081664</v>
      </c>
      <c r="F22" s="32" t="n">
        <f aca="false">F20-F21</f>
        <v>23676796.3991973</v>
      </c>
      <c r="G22" s="32" t="n">
        <f aca="false">G20-G21</f>
        <v>25215788.1651451</v>
      </c>
    </row>
    <row r="23" customFormat="false" ht="15" hidden="false" customHeight="false" outlineLevel="0" collapsed="false">
      <c r="A23" s="30" t="s">
        <v>201</v>
      </c>
      <c r="B23" s="32" t="n">
        <v>0</v>
      </c>
      <c r="C23" s="32" t="n">
        <f aca="false">C19-C22</f>
        <v>91999185.6041205</v>
      </c>
      <c r="D23" s="32" t="n">
        <f aca="false">D19-D22</f>
        <v>71124318.2725088</v>
      </c>
      <c r="E23" s="32" t="n">
        <f aca="false">E19-E22</f>
        <v>48892584.5643424</v>
      </c>
      <c r="F23" s="32" t="n">
        <f aca="false">F19-F22</f>
        <v>25215788.1651451</v>
      </c>
      <c r="G23" s="32" t="n">
        <f aca="false">G19-G22</f>
        <v>0</v>
      </c>
    </row>
    <row r="24" customFormat="false" ht="15" hidden="false" customHeight="false" outlineLevel="0" collapsed="false">
      <c r="A24" s="30" t="s">
        <v>202</v>
      </c>
      <c r="B24" s="32" t="n">
        <v>0</v>
      </c>
      <c r="C24" s="32" t="n">
        <f aca="false">B16/5</f>
        <v>27900000</v>
      </c>
      <c r="D24" s="32" t="n">
        <f aca="false">B16/5</f>
        <v>27900000</v>
      </c>
      <c r="E24" s="32" t="n">
        <f aca="false">B16/5</f>
        <v>27900000</v>
      </c>
      <c r="F24" s="32" t="n">
        <f aca="false">B16/5</f>
        <v>27900000</v>
      </c>
      <c r="G24" s="32" t="n">
        <f aca="false">B16/5</f>
        <v>27900000</v>
      </c>
    </row>
    <row r="25" customFormat="false" ht="15" hidden="false" customHeight="false" outlineLevel="0" collapsed="false">
      <c r="A25" s="30" t="s">
        <v>203</v>
      </c>
      <c r="B25" s="32" t="n">
        <v>0</v>
      </c>
      <c r="C25" s="32" t="n">
        <f aca="false">MIN(C21,'Control Panel &amp; Inputs'!$C$28*C14)</f>
        <v>7254000</v>
      </c>
      <c r="D25" s="32" t="n">
        <f aca="false">MIN(D21,'Control Panel &amp; Inputs'!$C$28*D14)</f>
        <v>5979947.06426783</v>
      </c>
      <c r="E25" s="32" t="n">
        <f aca="false">MIN(E21,'Control Panel &amp; Inputs'!$C$28*E14)</f>
        <v>4623080.68771307</v>
      </c>
      <c r="F25" s="32" t="n">
        <f aca="false">MIN(F21,'Control Panel &amp; Inputs'!$C$28*F14)</f>
        <v>3178017.99668225</v>
      </c>
      <c r="G25" s="32" t="n">
        <f aca="false">MIN(G21,'Control Panel &amp; Inputs'!$C$28*G14)</f>
        <v>1639026.23073443</v>
      </c>
    </row>
    <row r="26" customFormat="false" ht="15" hidden="false" customHeight="false" outlineLevel="0" collapsed="false">
      <c r="A26" s="30" t="s">
        <v>204</v>
      </c>
      <c r="B26" s="32" t="n">
        <v>0</v>
      </c>
      <c r="C26" s="32" t="n">
        <f aca="false">C14-C24-C25</f>
        <v>25601550.321856</v>
      </c>
      <c r="D26" s="32" t="n">
        <f aca="false">D14-D24-D25</f>
        <v>36444944.2640253</v>
      </c>
      <c r="E26" s="32" t="n">
        <f aca="false">E14-E24-E25</f>
        <v>39058212.8671459</v>
      </c>
      <c r="F26" s="32" t="n">
        <f aca="false">F14-F24-F25</f>
        <v>41852565.9300239</v>
      </c>
      <c r="G26" s="32" t="n">
        <f aca="false">G14-G24-G25</f>
        <v>44839938.2145752</v>
      </c>
    </row>
    <row r="27" customFormat="false" ht="15" hidden="false" customHeight="false" outlineLevel="0" collapsed="false">
      <c r="A27" s="30" t="s">
        <v>205</v>
      </c>
      <c r="B27" s="32" t="n">
        <v>0</v>
      </c>
      <c r="C27" s="32" t="n">
        <f aca="false">MAX(0,C26)*'Control Panel &amp; Inputs'!$C$27</f>
        <v>2304139.52896704</v>
      </c>
      <c r="D27" s="32" t="n">
        <f aca="false">MAX(0,D26)*'Control Panel &amp; Inputs'!$C$27</f>
        <v>3280044.98376228</v>
      </c>
      <c r="E27" s="32" t="n">
        <f aca="false">MAX(0,E26)*'Control Panel &amp; Inputs'!$C$27</f>
        <v>3515239.15804313</v>
      </c>
      <c r="F27" s="32" t="n">
        <f aca="false">MAX(0,F26)*'Control Panel &amp; Inputs'!$C$27</f>
        <v>3766730.93370215</v>
      </c>
      <c r="G27" s="32" t="n">
        <f aca="false">MAX(0,G26)*'Control Panel &amp; Inputs'!$C$27</f>
        <v>4035594.43931177</v>
      </c>
    </row>
    <row r="28" customFormat="false" ht="15" hidden="false" customHeight="false" outlineLevel="0" collapsed="false">
      <c r="A28" s="30" t="s">
        <v>206</v>
      </c>
      <c r="B28" s="32" t="n">
        <v>0</v>
      </c>
      <c r="C28" s="32" t="n">
        <v>0</v>
      </c>
      <c r="D28" s="32" t="n">
        <v>0</v>
      </c>
      <c r="E28" s="32" t="n">
        <v>0</v>
      </c>
      <c r="F28" s="32" t="n">
        <v>0</v>
      </c>
      <c r="G28" s="32" t="n">
        <f aca="false">'Control Panel &amp; Inputs'!$C$22*'Control Panel &amp; Inputs'!$C$23</f>
        <v>13950000</v>
      </c>
    </row>
    <row r="29" customFormat="false" ht="15" hidden="false" customHeight="false" outlineLevel="0" collapsed="false">
      <c r="A29" s="35" t="s">
        <v>207</v>
      </c>
      <c r="B29" s="36" t="n">
        <f aca="false">-B18</f>
        <v>-27900000</v>
      </c>
      <c r="C29" s="36" t="n">
        <f aca="false">C14-C20-C27+C28</f>
        <v>31596596.3970094</v>
      </c>
      <c r="D29" s="36" t="n">
        <f aca="false">D14-D20-D27+D28</f>
        <v>40190031.9486513</v>
      </c>
      <c r="E29" s="36" t="n">
        <f aca="false">E14-E20-E27+E28</f>
        <v>41211240.0009363</v>
      </c>
      <c r="F29" s="36" t="n">
        <f aca="false">F14-F20-F27+F28</f>
        <v>42309038.5971245</v>
      </c>
      <c r="G29" s="36" t="n">
        <f aca="false">G14-G20-G27+G28</f>
        <v>57438555.6101184</v>
      </c>
    </row>
    <row r="30" customFormat="false" ht="15" hidden="false" customHeight="false" outlineLevel="0" collapsed="false">
      <c r="A30" s="30" t="s">
        <v>208</v>
      </c>
      <c r="B30" s="32" t="n">
        <f aca="false">B29</f>
        <v>-27900000</v>
      </c>
      <c r="C30" s="32" t="n">
        <f aca="false">B30+C29</f>
        <v>3696596.39700945</v>
      </c>
      <c r="D30" s="32" t="n">
        <f aca="false">C30+D29</f>
        <v>43886628.3456608</v>
      </c>
      <c r="E30" s="32" t="n">
        <f aca="false">D30+E29</f>
        <v>85097868.3465971</v>
      </c>
      <c r="F30" s="32" t="n">
        <f aca="false">E30+F29</f>
        <v>127406906.943722</v>
      </c>
      <c r="G30" s="32" t="n">
        <f aca="false">F30+G29</f>
        <v>184845462.55384</v>
      </c>
    </row>
    <row r="31" customFormat="false" ht="15" hidden="false" customHeight="false" outlineLevel="0" collapsed="false">
      <c r="A31" s="30" t="s">
        <v>209</v>
      </c>
      <c r="B31" s="37" t="n">
        <v>0</v>
      </c>
      <c r="C31" s="37" t="n">
        <f aca="false">C14/C20</f>
        <v>2.26237088911618</v>
      </c>
      <c r="D31" s="37" t="n">
        <f aca="false">D14/D20</f>
        <v>2.61870703299604</v>
      </c>
      <c r="E31" s="37" t="n">
        <f aca="false">E14/E20</f>
        <v>2.6654920231302</v>
      </c>
      <c r="F31" s="37" t="n">
        <f aca="false">F14/F20</f>
        <v>2.71573591429834</v>
      </c>
      <c r="G31" s="37" t="n">
        <f aca="false">G14/G20</f>
        <v>2.76966965210983</v>
      </c>
    </row>
    <row r="32" customFormat="false" ht="15" hidden="false" customHeight="false" outlineLevel="0" collapsed="false">
      <c r="A32" s="30" t="s">
        <v>210</v>
      </c>
      <c r="B32" s="32" t="n">
        <v>0</v>
      </c>
      <c r="C32" s="32" t="n">
        <f aca="false">MAX(0,C14-C24)*'Control Panel &amp; Inputs'!$C$27</f>
        <v>2956999.52896704</v>
      </c>
      <c r="D32" s="32" t="n">
        <f aca="false">MAX(0,D14-D24)*'Control Panel &amp; Inputs'!$C$27</f>
        <v>3818240.21954638</v>
      </c>
      <c r="E32" s="32" t="n">
        <f aca="false">MAX(0,E14-E24)*'Control Panel &amp; Inputs'!$C$27</f>
        <v>3931316.41993731</v>
      </c>
      <c r="F32" s="32" t="n">
        <f aca="false">MAX(0,F14-F24)*'Control Panel &amp; Inputs'!$C$27</f>
        <v>4052752.55340355</v>
      </c>
      <c r="G32" s="32" t="n">
        <f aca="false">MAX(0,G14-G24)*'Control Panel &amp; Inputs'!$C$27</f>
        <v>4183106.80007787</v>
      </c>
    </row>
    <row r="33" customFormat="false" ht="15" hidden="false" customHeight="false" outlineLevel="0" collapsed="false">
      <c r="A33" s="30" t="s">
        <v>211</v>
      </c>
      <c r="B33" s="32" t="n">
        <f aca="false">-B16</f>
        <v>-139500000</v>
      </c>
      <c r="C33" s="32" t="n">
        <f aca="false">C14-C32+C28</f>
        <v>57798550.792889</v>
      </c>
      <c r="D33" s="32" t="n">
        <f aca="false">D14-D32+D28</f>
        <v>66506651.1087467</v>
      </c>
      <c r="E33" s="32" t="n">
        <f aca="false">E14-E32+E28</f>
        <v>67649977.1349217</v>
      </c>
      <c r="F33" s="32" t="n">
        <f aca="false">F14-F32+F28</f>
        <v>68877831.3733026</v>
      </c>
      <c r="G33" s="32" t="n">
        <f aca="false">G14-G32+G28</f>
        <v>84145857.6452318</v>
      </c>
    </row>
    <row r="35" customFormat="false" ht="15" hidden="false" customHeight="false" outlineLevel="0" collapsed="false">
      <c r="A35" s="38" t="s">
        <v>212</v>
      </c>
    </row>
    <row r="36" customFormat="false" ht="15" hidden="false" customHeight="false" outlineLevel="0" collapsed="false">
      <c r="A36" s="4" t="s">
        <v>6</v>
      </c>
      <c r="B36" s="39" t="n">
        <f aca="false">IRR(B29:G29)</f>
        <v>1.26506825092475</v>
      </c>
    </row>
    <row r="37" customFormat="false" ht="15" hidden="false" customHeight="false" outlineLevel="0" collapsed="false">
      <c r="A37" s="4" t="s">
        <v>9</v>
      </c>
      <c r="B37" s="39" t="n">
        <f aca="false">IRR(B33:G33)</f>
        <v>0.37548919844065</v>
      </c>
    </row>
    <row r="38" customFormat="false" ht="15" hidden="false" customHeight="false" outlineLevel="0" collapsed="false">
      <c r="A38" s="4" t="s">
        <v>10</v>
      </c>
      <c r="B38" s="40" t="n">
        <f aca="false">B29+NPV('Control Panel &amp; Inputs'!$C$29,C29:G29)</f>
        <v>109809242.3148</v>
      </c>
    </row>
    <row r="39" customFormat="false" ht="15" hidden="false" customHeight="false" outlineLevel="0" collapsed="false">
      <c r="A39" s="4" t="s">
        <v>213</v>
      </c>
      <c r="B39" s="41" t="n">
        <f aca="false">SUM(C29:G29)/-B29</f>
        <v>7.62528539619498</v>
      </c>
    </row>
    <row r="40" customFormat="false" ht="15" hidden="false" customHeight="false" outlineLevel="0" collapsed="false">
      <c r="A40" s="4" t="s">
        <v>14</v>
      </c>
      <c r="B40" s="42" t="n">
        <f aca="false">IFERROR(COUNTIF(B30:G30,"&lt;0")-1+ABS(INDEX(B30:G30,COUNTIF(B30:G30,"&lt;0")))/INDEX(B29:G29,COUNTIF(B30:G30,"&lt;0")+1),"&gt;5 yrs")</f>
        <v>0.8830065001128</v>
      </c>
    </row>
    <row r="41" customFormat="false" ht="15" hidden="false" customHeight="false" outlineLevel="0" collapsed="false">
      <c r="A41" s="4" t="s">
        <v>19</v>
      </c>
      <c r="B41" s="41" t="n">
        <f aca="false">MIN(C31:G31)</f>
        <v>2.26237088911618</v>
      </c>
    </row>
    <row r="42" customFormat="false" ht="15" hidden="false" customHeight="false" outlineLevel="0" collapsed="false">
      <c r="A42" s="4" t="s">
        <v>214</v>
      </c>
      <c r="B42" s="41" t="n">
        <f aca="false">AVERAGE(C31:G31)</f>
        <v>2.60639510233012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217</v>
      </c>
    </row>
    <row r="5" customFormat="false" ht="15" hidden="false" customHeight="false" outlineLevel="0" collapsed="false">
      <c r="A5" s="6" t="s">
        <v>30</v>
      </c>
      <c r="B5" s="29" t="n">
        <f aca="false">'Control Panel &amp; Inputs'!$C$10*'Control Panel &amp; Inputs'!$C$11</f>
        <v>2304</v>
      </c>
      <c r="C5" s="6" t="s">
        <v>31</v>
      </c>
      <c r="D5" s="6" t="s">
        <v>218</v>
      </c>
    </row>
    <row r="6" customFormat="false" ht="15" hidden="false" customHeight="false" outlineLevel="0" collapsed="false">
      <c r="A6" s="6" t="s">
        <v>219</v>
      </c>
      <c r="B6" s="29" t="n">
        <f aca="false">B5*8760*'Control Panel &amp; Inputs'!$C$17</f>
        <v>20082124.8</v>
      </c>
      <c r="C6" s="6" t="s">
        <v>220</v>
      </c>
      <c r="D6" s="6" t="s">
        <v>221</v>
      </c>
    </row>
    <row r="7" customFormat="false" ht="15" hidden="false" customHeight="false" outlineLevel="0" collapsed="false">
      <c r="A7" s="6" t="s">
        <v>222</v>
      </c>
      <c r="B7" s="29" t="n">
        <f aca="false">B6*'Control Panel &amp; Inputs'!$C$16</f>
        <v>17069806.08</v>
      </c>
      <c r="C7" s="6" t="s">
        <v>220</v>
      </c>
      <c r="D7" s="6" t="s">
        <v>223</v>
      </c>
    </row>
    <row r="8" customFormat="false" ht="15" hidden="false" customHeight="false" outlineLevel="0" collapsed="false">
      <c r="A8" s="6" t="s">
        <v>35</v>
      </c>
      <c r="B8" s="43" t="n">
        <f aca="false">'5Yr Pro Forma Financials'!D$8/B7</f>
        <v>5.01323797112521</v>
      </c>
      <c r="C8" s="6" t="s">
        <v>36</v>
      </c>
      <c r="D8" s="6" t="s">
        <v>224</v>
      </c>
    </row>
    <row r="9" customFormat="false" ht="15" hidden="false" customHeight="false" outlineLevel="0" collapsed="false">
      <c r="A9" s="6" t="s">
        <v>225</v>
      </c>
      <c r="B9" s="43" t="n">
        <f aca="false">'5Yr Pro Forma Financials'!D$13/B7</f>
        <v>0.893396714657164</v>
      </c>
      <c r="C9" s="6" t="s">
        <v>36</v>
      </c>
      <c r="D9" s="6" t="s">
        <v>226</v>
      </c>
    </row>
    <row r="10" customFormat="false" ht="15" hidden="false" customHeight="false" outlineLevel="0" collapsed="false">
      <c r="A10" s="6" t="s">
        <v>227</v>
      </c>
      <c r="B10" s="43" t="n">
        <f aca="false">B8-B9</f>
        <v>4.11984125646805</v>
      </c>
      <c r="C10" s="6" t="s">
        <v>36</v>
      </c>
      <c r="D10" s="6" t="s">
        <v>228</v>
      </c>
    </row>
    <row r="11" customFormat="false" ht="15" hidden="false" customHeight="false" outlineLevel="0" collapsed="false">
      <c r="A11" s="6" t="s">
        <v>33</v>
      </c>
      <c r="B11" s="44" t="n">
        <f aca="false">'Control Panel &amp; Inputs'!$C$22/B5</f>
        <v>60546.875</v>
      </c>
      <c r="C11" s="6" t="s">
        <v>34</v>
      </c>
      <c r="D11" s="6" t="s">
        <v>229</v>
      </c>
    </row>
    <row r="12" customFormat="false" ht="15" hidden="false" customHeight="false" outlineLevel="0" collapsed="false">
      <c r="A12" s="6" t="s">
        <v>230</v>
      </c>
      <c r="B12" s="44" t="n">
        <f aca="false">'Control Panel &amp; Inputs'!$C$22/('Thermal Hydraulics &amp; MLC'!$B$7/1000)</f>
        <v>16880445.3049371</v>
      </c>
      <c r="C12" s="6" t="s">
        <v>231</v>
      </c>
      <c r="D12" s="6" t="s">
        <v>232</v>
      </c>
    </row>
    <row r="13" customFormat="false" ht="15" hidden="false" customHeight="false" outlineLevel="0" collapsed="false">
      <c r="A13" s="6" t="s">
        <v>233</v>
      </c>
      <c r="B13" s="44" t="n">
        <f aca="false">'5Yr Pro Forma Financials'!D$8/('Thermal Hydraulics &amp; MLC'!$B$7/1000)</f>
        <v>10355154.8886738</v>
      </c>
      <c r="C13" s="6" t="s">
        <v>234</v>
      </c>
      <c r="D13" s="6" t="s">
        <v>235</v>
      </c>
    </row>
    <row r="14" customFormat="false" ht="15" hidden="false" customHeight="false" outlineLevel="0" collapsed="false">
      <c r="A14" s="6" t="s">
        <v>236</v>
      </c>
      <c r="B14" s="26" t="n">
        <f aca="false">B5*'Control Panel &amp; Inputs'!$C$19*'Control Panel &amp; Inputs'!$C$18*3600*8760*'Control Panel &amp; Inputs'!$C$16*'Control Panel &amp; Inputs'!$C$17/1000000000000</f>
        <v>33.18370301952</v>
      </c>
      <c r="C14" s="6" t="s">
        <v>237</v>
      </c>
      <c r="D14" s="6" t="s">
        <v>238</v>
      </c>
    </row>
    <row r="15" customFormat="false" ht="15" hidden="false" customHeight="false" outlineLevel="0" collapsed="false">
      <c r="A15" s="6" t="s">
        <v>239</v>
      </c>
      <c r="B15" s="43" t="n">
        <f aca="false">'5Yr Pro Forma Financials'!D$7/(B14*1000000)</f>
        <v>0.806871975205717</v>
      </c>
      <c r="C15" s="6" t="s">
        <v>38</v>
      </c>
      <c r="D15" s="6" t="s">
        <v>240</v>
      </c>
    </row>
    <row r="16" customFormat="false" ht="15" hidden="false" customHeight="false" outlineLevel="0" collapsed="false">
      <c r="A16" s="6" t="s">
        <v>37</v>
      </c>
      <c r="B16" s="43" t="n">
        <f aca="false">'5Yr Pro Forma Financials'!D$13*'Control Panel &amp; Inputs'!$C$19/(B14*1000000)</f>
        <v>0.137869863373019</v>
      </c>
      <c r="C16" s="6" t="s">
        <v>38</v>
      </c>
      <c r="D16" s="6" t="s">
        <v>241</v>
      </c>
    </row>
    <row r="17" customFormat="false" ht="15" hidden="false" customHeight="false" outlineLevel="0" collapsed="false">
      <c r="A17" s="6" t="s">
        <v>39</v>
      </c>
      <c r="B17" s="28" t="n">
        <f aca="false">'5Yr Pro Forma Financials'!D$11/'5Yr Pro Forma Financials'!D$8</f>
        <v>0.0472894966018917</v>
      </c>
      <c r="C17" s="6" t="s">
        <v>7</v>
      </c>
      <c r="D17" s="6" t="s">
        <v>242</v>
      </c>
    </row>
    <row r="18" customFormat="false" ht="15" hidden="false" customHeight="false" outlineLevel="0" collapsed="false">
      <c r="A18" s="6" t="s">
        <v>243</v>
      </c>
      <c r="B18" s="45" t="n">
        <f aca="false">('5Yr Pro Forma Financials'!D$8-'5Yr Pro Forma Financials'!D$12)/'5Yr Pro Forma Financials'!D$10</f>
        <v>1.12472791389946</v>
      </c>
      <c r="C18" s="6" t="s">
        <v>41</v>
      </c>
      <c r="D18" s="6" t="s">
        <v>244</v>
      </c>
    </row>
    <row r="19" customFormat="false" ht="15" hidden="false" customHeight="false" outlineLevel="0" collapsed="false">
      <c r="A19" s="6" t="s">
        <v>245</v>
      </c>
      <c r="B19" s="44" t="n">
        <f aca="false">'5Yr Pro Forma Financials'!D$20+'5Yr Pro Forma Financials'!D$13</f>
        <v>42104923.0675864</v>
      </c>
      <c r="C19" s="6" t="s">
        <v>110</v>
      </c>
      <c r="D19" s="6" t="s">
        <v>246</v>
      </c>
    </row>
    <row r="20" customFormat="false" ht="15" hidden="false" customHeight="false" outlineLevel="0" collapsed="false">
      <c r="A20" s="6" t="s">
        <v>247</v>
      </c>
      <c r="B20" s="28" t="n">
        <f aca="false">1-B19/'5Yr Pro Forma Financials'!D$8</f>
        <v>0.507976359128409</v>
      </c>
      <c r="C20" s="6" t="s">
        <v>7</v>
      </c>
      <c r="D20" s="6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14" min="2" style="0" width="18"/>
  </cols>
  <sheetData>
    <row r="1" customFormat="false" ht="19.7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15" hidden="false" customHeight="false" outlineLevel="0" collapsed="false">
      <c r="A4" s="3" t="s">
        <v>251</v>
      </c>
      <c r="B4" s="3" t="s">
        <v>252</v>
      </c>
      <c r="C4" s="3" t="s">
        <v>253</v>
      </c>
      <c r="D4" s="3" t="s">
        <v>254</v>
      </c>
      <c r="E4" s="3" t="s">
        <v>255</v>
      </c>
      <c r="F4" s="3" t="s">
        <v>256</v>
      </c>
      <c r="G4" s="3" t="s">
        <v>257</v>
      </c>
      <c r="H4" s="3" t="s">
        <v>258</v>
      </c>
      <c r="I4" s="3" t="s">
        <v>259</v>
      </c>
      <c r="J4" s="3" t="s">
        <v>260</v>
      </c>
      <c r="K4" s="3" t="s">
        <v>261</v>
      </c>
      <c r="L4" s="3" t="s">
        <v>262</v>
      </c>
      <c r="M4" s="3" t="s">
        <v>263</v>
      </c>
      <c r="N4" s="3" t="s">
        <v>264</v>
      </c>
    </row>
    <row r="5" customFormat="false" ht="15" hidden="false" customHeight="false" outlineLevel="0" collapsed="false">
      <c r="A5" s="6" t="s">
        <v>265</v>
      </c>
      <c r="B5" s="46" t="n">
        <v>0.04</v>
      </c>
      <c r="C5" s="47" t="n">
        <v>0.5</v>
      </c>
      <c r="D5" s="48" t="n">
        <f aca="false">'Control Panel &amp; Inputs'!$C$22*$C5</f>
        <v>69750000</v>
      </c>
      <c r="E5" s="48" t="n">
        <f aca="false">'Control Panel &amp; Inputs'!$C$22-$D5</f>
        <v>69750000</v>
      </c>
      <c r="F5" s="48" t="n">
        <f aca="false">-PMT('Control Panel &amp; Inputs'!$C$25,'Control Panel &amp; Inputs'!$C$26,$D5)</f>
        <v>16784258.9974247</v>
      </c>
      <c r="G5" s="48" t="n">
        <f aca="false">-$E5</f>
        <v>-69750000</v>
      </c>
      <c r="H5" s="48" t="n">
        <f aca="false">B23-$F5-MAX(0,B23-'Control Panel &amp; Inputs'!$C$22/5-MIN(-IPMT('Control Panel &amp; Inputs'!$C$25,1,'Control Panel &amp; Inputs'!$C$26,$D5),'Control Panel &amp; Inputs'!$C$28*B23))*'Control Panel &amp; Inputs'!$C$27</f>
        <v>42625789.0311679</v>
      </c>
      <c r="I5" s="48" t="n">
        <f aca="false">C23-$F5-MAX(0,C23-'Control Panel &amp; Inputs'!$C$22/5-MIN(-IPMT('Control Panel &amp; Inputs'!$C$25,2,'Control Panel &amp; Inputs'!$C$26,$D5),'Control Panel &amp; Inputs'!$C$28*C23))*'Control Panel &amp; Inputs'!$C$27</f>
        <v>51286293.0641049</v>
      </c>
      <c r="J5" s="48" t="n">
        <f aca="false">D23-$F5-MAX(0,D23-'Control Panel &amp; Inputs'!$C$22/5-MIN(-IPMT('Control Panel &amp; Inputs'!$C$25,3,'Control Panel &amp; Inputs'!$C$26,$D5),'Control Panel &amp; Inputs'!$C$28*D23))*'Control Panel &amp; Inputs'!$C$27</f>
        <v>52377845.935207</v>
      </c>
      <c r="K5" s="48" t="n">
        <f aca="false">E23-$F5-MAX(0,E23-'Control Panel &amp; Inputs'!$C$22/5-MIN(-IPMT('Control Panel &amp; Inputs'!$C$25,4,'Control Panel &amp; Inputs'!$C$26,$D5),'Control Panel &amp; Inputs'!$C$28*E23))*'Control Panel &amp; Inputs'!$C$27</f>
        <v>53549456.9873979</v>
      </c>
      <c r="L5" s="48" t="n">
        <f aca="false">F23-$F5-MAX(0,F23-'Control Panel &amp; Inputs'!$C$22/5-MIN(-IPMT('Control Panel &amp; Inputs'!$C$25,5,'Control Panel &amp; Inputs'!$C$26,$D5),'Control Panel &amp; Inputs'!$C$28*F23))*'Control Panel &amp; Inputs'!$C$27+'Control Panel &amp; Inputs'!$C$22*'Control Panel &amp; Inputs'!$C$23</f>
        <v>68756457.3944767</v>
      </c>
      <c r="M5" s="49" t="n">
        <f aca="false">IRR(G5:L5)</f>
        <v>0.643978746381705</v>
      </c>
      <c r="N5" s="50" t="n">
        <f aca="false">AVERAGE(B23:F23)/$F5</f>
        <v>4.25224061963126</v>
      </c>
    </row>
    <row r="6" customFormat="false" ht="15" hidden="false" customHeight="false" outlineLevel="0" collapsed="false">
      <c r="A6" s="6" t="s">
        <v>266</v>
      </c>
      <c r="B6" s="46" t="n">
        <v>0.04</v>
      </c>
      <c r="C6" s="47" t="n">
        <v>0.6</v>
      </c>
      <c r="D6" s="48" t="n">
        <f aca="false">'Control Panel &amp; Inputs'!$C$22*$C6</f>
        <v>83700000</v>
      </c>
      <c r="E6" s="48" t="n">
        <f aca="false">'Control Panel &amp; Inputs'!$C$22-$D6</f>
        <v>55800000</v>
      </c>
      <c r="F6" s="48" t="n">
        <f aca="false">-PMT('Control Panel &amp; Inputs'!$C$25,'Control Panel &amp; Inputs'!$C$26,$D6)</f>
        <v>20141110.7969096</v>
      </c>
      <c r="G6" s="48" t="n">
        <f aca="false">-$E6</f>
        <v>-55800000</v>
      </c>
      <c r="H6" s="48" t="n">
        <f aca="false">B24-$F6-MAX(0,B24-'Control Panel &amp; Inputs'!$C$22/5-MIN(-IPMT('Control Panel &amp; Inputs'!$C$25,1,'Control Panel &amp; Inputs'!$C$26,$D6),'Control Panel &amp; Inputs'!$C$28*B24))*'Control Panel &amp; Inputs'!$C$27</f>
        <v>39350544.731683</v>
      </c>
      <c r="I6" s="48" t="n">
        <f aca="false">C24-$F6-MAX(0,C24-'Control Panel &amp; Inputs'!$C$22/5-MIN(-IPMT('Control Panel &amp; Inputs'!$C$25,2,'Control Panel &amp; Inputs'!$C$26,$D6),'Control Panel &amp; Inputs'!$C$28*C24))*'Control Panel &amp; Inputs'!$C$27</f>
        <v>47996715.6690929</v>
      </c>
      <c r="J6" s="48" t="n">
        <f aca="false">D24-$F6-MAX(0,D24-'Control Panel &amp; Inputs'!$C$22/5-MIN(-IPMT('Control Panel &amp; Inputs'!$C$25,3,'Control Panel &amp; Inputs'!$C$26,$D6),'Control Panel &amp; Inputs'!$C$28*D24))*'Control Panel &amp; Inputs'!$C$27</f>
        <v>49073003.7934588</v>
      </c>
      <c r="K6" s="48" t="n">
        <f aca="false">E24-$F6-MAX(0,E24-'Control Panel &amp; Inputs'!$C$22/5-MIN(-IPMT('Control Panel &amp; Inputs'!$C$25,4,'Control Panel &amp; Inputs'!$C$26,$D6),'Control Panel &amp; Inputs'!$C$28*E24))*'Control Panel &amp; Inputs'!$C$27</f>
        <v>50228357.8903757</v>
      </c>
      <c r="L6" s="48" t="n">
        <f aca="false">F24-$F6-MAX(0,F24-'Control Panel &amp; Inputs'!$C$22/5-MIN(-IPMT('Control Panel &amp; Inputs'!$C$25,5,'Control Panel &amp; Inputs'!$C$26,$D6),'Control Panel &amp; Inputs'!$C$28*F24))*'Control Panel &amp; Inputs'!$C$27+'Control Panel &amp; Inputs'!$C$22*'Control Panel &amp; Inputs'!$C$23</f>
        <v>65418044.6400875</v>
      </c>
      <c r="M6" s="49" t="n">
        <f aca="false">IRR(G6:L6)</f>
        <v>0.762382519931947</v>
      </c>
      <c r="N6" s="50" t="n">
        <f aca="false">AVERAGE(B24:F24)/$F6</f>
        <v>3.54353384969272</v>
      </c>
    </row>
    <row r="7" customFormat="false" ht="15" hidden="false" customHeight="false" outlineLevel="0" collapsed="false">
      <c r="A7" s="6" t="s">
        <v>267</v>
      </c>
      <c r="B7" s="46" t="n">
        <v>0.04</v>
      </c>
      <c r="C7" s="47" t="n">
        <v>0.7</v>
      </c>
      <c r="D7" s="48" t="n">
        <f aca="false">'Control Panel &amp; Inputs'!$C$22*$C7</f>
        <v>97650000</v>
      </c>
      <c r="E7" s="48" t="n">
        <f aca="false">'Control Panel &amp; Inputs'!$C$22-$D7</f>
        <v>41850000</v>
      </c>
      <c r="F7" s="48" t="n">
        <f aca="false">-PMT('Control Panel &amp; Inputs'!$C$25,'Control Panel &amp; Inputs'!$C$26,$D7)</f>
        <v>23497962.5963946</v>
      </c>
      <c r="G7" s="48" t="n">
        <f aca="false">-$E7</f>
        <v>-41850000</v>
      </c>
      <c r="H7" s="48" t="n">
        <f aca="false">B25-$F7-MAX(0,B25-'Control Panel &amp; Inputs'!$C$22/5-MIN(-IPMT('Control Panel &amp; Inputs'!$C$25,1,'Control Panel &amp; Inputs'!$C$26,$D7),'Control Panel &amp; Inputs'!$C$28*B25))*'Control Panel &amp; Inputs'!$C$27</f>
        <v>36075300.4321981</v>
      </c>
      <c r="I7" s="48" t="n">
        <f aca="false">C25-$F7-MAX(0,C25-'Control Panel &amp; Inputs'!$C$22/5-MIN(-IPMT('Control Panel &amp; Inputs'!$C$25,2,'Control Panel &amp; Inputs'!$C$26,$D7),'Control Panel &amp; Inputs'!$C$28*C25))*'Control Panel &amp; Inputs'!$C$27</f>
        <v>44707138.274081</v>
      </c>
      <c r="J7" s="48" t="n">
        <f aca="false">D25-$F7-MAX(0,D25-'Control Panel &amp; Inputs'!$C$22/5-MIN(-IPMT('Control Panel &amp; Inputs'!$C$25,3,'Control Panel &amp; Inputs'!$C$26,$D7),'Control Panel &amp; Inputs'!$C$28*D25))*'Control Panel &amp; Inputs'!$C$27</f>
        <v>45768161.6517106</v>
      </c>
      <c r="K7" s="48" t="n">
        <f aca="false">E25-$F7-MAX(0,E25-'Control Panel &amp; Inputs'!$C$22/5-MIN(-IPMT('Control Panel &amp; Inputs'!$C$25,4,'Control Panel &amp; Inputs'!$C$26,$D7),'Control Panel &amp; Inputs'!$C$28*E25))*'Control Panel &amp; Inputs'!$C$27</f>
        <v>46907258.7933534</v>
      </c>
      <c r="L7" s="48" t="n">
        <f aca="false">F25-$F7-MAX(0,F25-'Control Panel &amp; Inputs'!$C$22/5-MIN(-IPMT('Control Panel &amp; Inputs'!$C$25,5,'Control Panel &amp; Inputs'!$C$26,$D7),'Control Panel &amp; Inputs'!$C$28*F25))*'Control Panel &amp; Inputs'!$C$27+'Control Panel &amp; Inputs'!$C$22*'Control Panel &amp; Inputs'!$C$23</f>
        <v>62079631.8856983</v>
      </c>
      <c r="M7" s="49" t="n">
        <f aca="false">IRR(G7:L7)</f>
        <v>0.950597457234898</v>
      </c>
      <c r="N7" s="50" t="n">
        <f aca="false">AVERAGE(B25:F25)/$F7</f>
        <v>3.03731472830805</v>
      </c>
    </row>
    <row r="8" customFormat="false" ht="15" hidden="false" customHeight="false" outlineLevel="0" collapsed="false">
      <c r="A8" s="6" t="s">
        <v>268</v>
      </c>
      <c r="B8" s="46" t="n">
        <v>0.04</v>
      </c>
      <c r="C8" s="47" t="n">
        <v>0.8</v>
      </c>
      <c r="D8" s="48" t="n">
        <f aca="false">'Control Panel &amp; Inputs'!$C$22*$C8</f>
        <v>111600000</v>
      </c>
      <c r="E8" s="48" t="n">
        <f aca="false">'Control Panel &amp; Inputs'!$C$22-$D8</f>
        <v>27900000</v>
      </c>
      <c r="F8" s="48" t="n">
        <f aca="false">-PMT('Control Panel &amp; Inputs'!$C$25,'Control Panel &amp; Inputs'!$C$26,$D8)</f>
        <v>26854814.3958795</v>
      </c>
      <c r="G8" s="48" t="n">
        <f aca="false">-$E8</f>
        <v>-27900000</v>
      </c>
      <c r="H8" s="48" t="n">
        <f aca="false">B26-$F8-MAX(0,B26-'Control Panel &amp; Inputs'!$C$22/5-MIN(-IPMT('Control Panel &amp; Inputs'!$C$25,1,'Control Panel &amp; Inputs'!$C$26,$D8),'Control Panel &amp; Inputs'!$C$28*B26))*'Control Panel &amp; Inputs'!$C$27</f>
        <v>32800056.1327131</v>
      </c>
      <c r="I8" s="48" t="n">
        <f aca="false">C26-$F8-MAX(0,C26-'Control Panel &amp; Inputs'!$C$22/5-MIN(-IPMT('Control Panel &amp; Inputs'!$C$25,2,'Control Panel &amp; Inputs'!$C$26,$D8),'Control Panel &amp; Inputs'!$C$28*C26))*'Control Panel &amp; Inputs'!$C$27</f>
        <v>41417560.8790691</v>
      </c>
      <c r="J8" s="48" t="n">
        <f aca="false">D26-$F8-MAX(0,D26-'Control Panel &amp; Inputs'!$C$22/5-MIN(-IPMT('Control Panel &amp; Inputs'!$C$25,3,'Control Panel &amp; Inputs'!$C$26,$D8),'Control Panel &amp; Inputs'!$C$28*D26))*'Control Panel &amp; Inputs'!$C$27</f>
        <v>42463319.5099624</v>
      </c>
      <c r="K8" s="48" t="n">
        <f aca="false">E26-$F8-MAX(0,E26-'Control Panel &amp; Inputs'!$C$22/5-MIN(-IPMT('Control Panel &amp; Inputs'!$C$25,4,'Control Panel &amp; Inputs'!$C$26,$D8),'Control Panel &amp; Inputs'!$C$28*E26))*'Control Panel &amp; Inputs'!$C$27</f>
        <v>43586159.6963311</v>
      </c>
      <c r="L8" s="48" t="n">
        <f aca="false">F26-$F8-MAX(0,F26-'Control Panel &amp; Inputs'!$C$22/5-MIN(-IPMT('Control Panel &amp; Inputs'!$C$25,5,'Control Panel &amp; Inputs'!$C$26,$D8),'Control Panel &amp; Inputs'!$C$28*F26))*'Control Panel &amp; Inputs'!$C$27+'Control Panel &amp; Inputs'!$C$22*'Control Panel &amp; Inputs'!$C$23</f>
        <v>58741219.1313091</v>
      </c>
      <c r="M8" s="49" t="n">
        <f aca="false">IRR(G8:L8)</f>
        <v>1.30679835036219</v>
      </c>
      <c r="N8" s="50" t="n">
        <f aca="false">AVERAGE(B26:F26)/$F8</f>
        <v>2.65765038726954</v>
      </c>
    </row>
    <row r="9" customFormat="false" ht="15" hidden="false" customHeight="false" outlineLevel="0" collapsed="false">
      <c r="A9" s="6" t="s">
        <v>269</v>
      </c>
      <c r="B9" s="46" t="n">
        <v>0.06</v>
      </c>
      <c r="C9" s="47" t="n">
        <v>0.5</v>
      </c>
      <c r="D9" s="48" t="n">
        <f aca="false">'Control Panel &amp; Inputs'!$C$22*$C9</f>
        <v>69750000</v>
      </c>
      <c r="E9" s="48" t="n">
        <f aca="false">'Control Panel &amp; Inputs'!$C$22-$D9</f>
        <v>69750000</v>
      </c>
      <c r="F9" s="48" t="n">
        <f aca="false">-PMT('Control Panel &amp; Inputs'!$C$25,'Control Panel &amp; Inputs'!$C$26,$D9)</f>
        <v>16784258.9974247</v>
      </c>
      <c r="G9" s="48" t="n">
        <f aca="false">-$E9</f>
        <v>-69750000</v>
      </c>
      <c r="H9" s="48" t="n">
        <f aca="false">B27-$F9-MAX(0,B27-'Control Panel &amp; Inputs'!$C$22/5-MIN(-IPMT('Control Panel &amp; Inputs'!$C$25,1,'Control Panel &amp; Inputs'!$C$26,$D9),'Control Panel &amp; Inputs'!$C$28*B27))*'Control Panel &amp; Inputs'!$C$27</f>
        <v>41422329.2954643</v>
      </c>
      <c r="I9" s="48" t="n">
        <f aca="false">C27-$F9-MAX(0,C27-'Control Panel &amp; Inputs'!$C$22/5-MIN(-IPMT('Control Panel &amp; Inputs'!$C$25,2,'Control Panel &amp; Inputs'!$C$26,$D9),'Control Panel &amp; Inputs'!$C$28*C27))*'Control Panel &amp; Inputs'!$C$27</f>
        <v>50058764.1336871</v>
      </c>
      <c r="J9" s="48" t="n">
        <f aca="false">D27-$F9-MAX(0,D27-'Control Panel &amp; Inputs'!$C$22/5-MIN(-IPMT('Control Panel &amp; Inputs'!$C$25,3,'Control Panel &amp; Inputs'!$C$26,$D9),'Control Panel &amp; Inputs'!$C$28*D27))*'Control Panel &amp; Inputs'!$C$27</f>
        <v>51125766.4261808</v>
      </c>
      <c r="K9" s="48" t="n">
        <f aca="false">E27-$F9-MAX(0,E27-'Control Panel &amp; Inputs'!$C$22/5-MIN(-IPMT('Control Panel &amp; Inputs'!$C$25,4,'Control Panel &amp; Inputs'!$C$26,$D9),'Control Panel &amp; Inputs'!$C$28*E27))*'Control Panel &amp; Inputs'!$C$27</f>
        <v>52272335.8881913</v>
      </c>
      <c r="L9" s="48" t="n">
        <f aca="false">F27-$F9-MAX(0,F27-'Control Panel &amp; Inputs'!$C$22/5-MIN(-IPMT('Control Panel &amp; Inputs'!$C$25,5,'Control Panel &amp; Inputs'!$C$26,$D9),'Control Panel &amp; Inputs'!$C$28*F27))*'Control Panel &amp; Inputs'!$C$27+'Control Panel &amp; Inputs'!$C$22*'Control Panel &amp; Inputs'!$C$23</f>
        <v>67453793.8732859</v>
      </c>
      <c r="M9" s="49" t="n">
        <f aca="false">IRR(G9:L9)</f>
        <v>0.625634391500291</v>
      </c>
      <c r="N9" s="50" t="n">
        <f aca="false">AVERAGE(B27:F27)/$F9</f>
        <v>4.17023216372819</v>
      </c>
    </row>
    <row r="10" customFormat="false" ht="15" hidden="false" customHeight="false" outlineLevel="0" collapsed="false">
      <c r="A10" s="6" t="s">
        <v>270</v>
      </c>
      <c r="B10" s="46" t="n">
        <v>0.06</v>
      </c>
      <c r="C10" s="47" t="n">
        <v>0.6</v>
      </c>
      <c r="D10" s="48" t="n">
        <f aca="false">'Control Panel &amp; Inputs'!$C$22*$C10</f>
        <v>83700000</v>
      </c>
      <c r="E10" s="48" t="n">
        <f aca="false">'Control Panel &amp; Inputs'!$C$22-$D10</f>
        <v>55800000</v>
      </c>
      <c r="F10" s="48" t="n">
        <f aca="false">-PMT('Control Panel &amp; Inputs'!$C$25,'Control Panel &amp; Inputs'!$C$26,$D10)</f>
        <v>20141110.7969096</v>
      </c>
      <c r="G10" s="48" t="n">
        <f aca="false">-$E10</f>
        <v>-55800000</v>
      </c>
      <c r="H10" s="48" t="n">
        <f aca="false">B28-$F10-MAX(0,B28-'Control Panel &amp; Inputs'!$C$22/5-MIN(-IPMT('Control Panel &amp; Inputs'!$C$25,1,'Control Panel &amp; Inputs'!$C$26,$D10),'Control Panel &amp; Inputs'!$C$28*B28))*'Control Panel &amp; Inputs'!$C$27</f>
        <v>38147084.9959793</v>
      </c>
      <c r="I10" s="48" t="n">
        <f aca="false">C28-$F10-MAX(0,C28-'Control Panel &amp; Inputs'!$C$22/5-MIN(-IPMT('Control Panel &amp; Inputs'!$C$25,2,'Control Panel &amp; Inputs'!$C$26,$D10),'Control Panel &amp; Inputs'!$C$28*C28))*'Control Panel &amp; Inputs'!$C$27</f>
        <v>46769186.7386752</v>
      </c>
      <c r="J10" s="48" t="n">
        <f aca="false">D28-$F10-MAX(0,D28-'Control Panel &amp; Inputs'!$C$22/5-MIN(-IPMT('Control Panel &amp; Inputs'!$C$25,3,'Control Panel &amp; Inputs'!$C$26,$D10),'Control Panel &amp; Inputs'!$C$28*D28))*'Control Panel &amp; Inputs'!$C$27</f>
        <v>47820924.2844327</v>
      </c>
      <c r="K10" s="48" t="n">
        <f aca="false">E28-$F10-MAX(0,E28-'Control Panel &amp; Inputs'!$C$22/5-MIN(-IPMT('Control Panel &amp; Inputs'!$C$25,4,'Control Panel &amp; Inputs'!$C$26,$D10),'Control Panel &amp; Inputs'!$C$28*E28))*'Control Panel &amp; Inputs'!$C$27</f>
        <v>48951236.791169</v>
      </c>
      <c r="L10" s="48" t="n">
        <f aca="false">F28-$F10-MAX(0,F28-'Control Panel &amp; Inputs'!$C$22/5-MIN(-IPMT('Control Panel &amp; Inputs'!$C$25,5,'Control Panel &amp; Inputs'!$C$26,$D10),'Control Panel &amp; Inputs'!$C$28*F28))*'Control Panel &amp; Inputs'!$C$27+'Control Panel &amp; Inputs'!$C$22*'Control Panel &amp; Inputs'!$C$23</f>
        <v>64115381.1188967</v>
      </c>
      <c r="M10" s="49" t="n">
        <f aca="false">IRR(G10:L10)</f>
        <v>0.740129255041265</v>
      </c>
      <c r="N10" s="50" t="n">
        <f aca="false">AVERAGE(B28:F28)/$F10</f>
        <v>3.47519346977349</v>
      </c>
    </row>
    <row r="11" customFormat="false" ht="15" hidden="false" customHeight="false" outlineLevel="0" collapsed="false">
      <c r="A11" s="6" t="s">
        <v>271</v>
      </c>
      <c r="B11" s="46" t="n">
        <v>0.06</v>
      </c>
      <c r="C11" s="47" t="n">
        <v>0.7</v>
      </c>
      <c r="D11" s="48" t="n">
        <f aca="false">'Control Panel &amp; Inputs'!$C$22*$C11</f>
        <v>97650000</v>
      </c>
      <c r="E11" s="48" t="n">
        <f aca="false">'Control Panel &amp; Inputs'!$C$22-$D11</f>
        <v>41850000</v>
      </c>
      <c r="F11" s="48" t="n">
        <f aca="false">-PMT('Control Panel &amp; Inputs'!$C$25,'Control Panel &amp; Inputs'!$C$26,$D11)</f>
        <v>23497962.5963946</v>
      </c>
      <c r="G11" s="48" t="n">
        <f aca="false">-$E11</f>
        <v>-41850000</v>
      </c>
      <c r="H11" s="48" t="n">
        <f aca="false">B29-$F11-MAX(0,B29-'Control Panel &amp; Inputs'!$C$22/5-MIN(-IPMT('Control Panel &amp; Inputs'!$C$25,1,'Control Panel &amp; Inputs'!$C$26,$D11),'Control Panel &amp; Inputs'!$C$28*B29))*'Control Panel &amp; Inputs'!$C$27</f>
        <v>34871840.6964944</v>
      </c>
      <c r="I11" s="48" t="n">
        <f aca="false">C29-$F11-MAX(0,C29-'Control Panel &amp; Inputs'!$C$22/5-MIN(-IPMT('Control Panel &amp; Inputs'!$C$25,2,'Control Panel &amp; Inputs'!$C$26,$D11),'Control Panel &amp; Inputs'!$C$28*C29))*'Control Panel &amp; Inputs'!$C$27</f>
        <v>43479609.3436633</v>
      </c>
      <c r="J11" s="48" t="n">
        <f aca="false">D29-$F11-MAX(0,D29-'Control Panel &amp; Inputs'!$C$22/5-MIN(-IPMT('Control Panel &amp; Inputs'!$C$25,3,'Control Panel &amp; Inputs'!$C$26,$D11),'Control Panel &amp; Inputs'!$C$28*D29))*'Control Panel &amp; Inputs'!$C$27</f>
        <v>44516082.1426845</v>
      </c>
      <c r="K11" s="48" t="n">
        <f aca="false">E29-$F11-MAX(0,E29-'Control Panel &amp; Inputs'!$C$22/5-MIN(-IPMT('Control Panel &amp; Inputs'!$C$25,4,'Control Panel &amp; Inputs'!$C$26,$D11),'Control Panel &amp; Inputs'!$C$28*E29))*'Control Panel &amp; Inputs'!$C$27</f>
        <v>45630137.6941468</v>
      </c>
      <c r="L11" s="48" t="n">
        <f aca="false">F29-$F11-MAX(0,F29-'Control Panel &amp; Inputs'!$C$22/5-MIN(-IPMT('Control Panel &amp; Inputs'!$C$25,5,'Control Panel &amp; Inputs'!$C$26,$D11),'Control Panel &amp; Inputs'!$C$28*F29))*'Control Panel &amp; Inputs'!$C$27+'Control Panel &amp; Inputs'!$C$22*'Control Panel &amp; Inputs'!$C$23</f>
        <v>60776968.3645076</v>
      </c>
      <c r="M11" s="49" t="n">
        <f aca="false">IRR(G11:L11)</f>
        <v>0.921875356077546</v>
      </c>
      <c r="N11" s="50" t="n">
        <f aca="false">AVERAGE(B29:F29)/$F11</f>
        <v>2.97873725980585</v>
      </c>
    </row>
    <row r="12" customFormat="false" ht="15" hidden="false" customHeight="false" outlineLevel="0" collapsed="false">
      <c r="A12" s="6" t="s">
        <v>272</v>
      </c>
      <c r="B12" s="46" t="n">
        <v>0.06</v>
      </c>
      <c r="C12" s="47" t="n">
        <v>0.8</v>
      </c>
      <c r="D12" s="48" t="n">
        <f aca="false">'Control Panel &amp; Inputs'!$C$22*$C12</f>
        <v>111600000</v>
      </c>
      <c r="E12" s="48" t="n">
        <f aca="false">'Control Panel &amp; Inputs'!$C$22-$D12</f>
        <v>27900000</v>
      </c>
      <c r="F12" s="48" t="n">
        <f aca="false">-PMT('Control Panel &amp; Inputs'!$C$25,'Control Panel &amp; Inputs'!$C$26,$D12)</f>
        <v>26854814.3958795</v>
      </c>
      <c r="G12" s="48" t="n">
        <f aca="false">-$E12</f>
        <v>-27900000</v>
      </c>
      <c r="H12" s="48" t="n">
        <f aca="false">B30-$F12-MAX(0,B30-'Control Panel &amp; Inputs'!$C$22/5-MIN(-IPMT('Control Panel &amp; Inputs'!$C$25,1,'Control Panel &amp; Inputs'!$C$26,$D12),'Control Panel &amp; Inputs'!$C$28*B30))*'Control Panel &amp; Inputs'!$C$27</f>
        <v>31596596.3970094</v>
      </c>
      <c r="I12" s="48" t="n">
        <f aca="false">C30-$F12-MAX(0,C30-'Control Panel &amp; Inputs'!$C$22/5-MIN(-IPMT('Control Panel &amp; Inputs'!$C$25,2,'Control Panel &amp; Inputs'!$C$26,$D12),'Control Panel &amp; Inputs'!$C$28*C30))*'Control Panel &amp; Inputs'!$C$27</f>
        <v>40190031.9486513</v>
      </c>
      <c r="J12" s="48" t="n">
        <f aca="false">D30-$F12-MAX(0,D30-'Control Panel &amp; Inputs'!$C$22/5-MIN(-IPMT('Control Panel &amp; Inputs'!$C$25,3,'Control Panel &amp; Inputs'!$C$26,$D12),'Control Panel &amp; Inputs'!$C$28*D30))*'Control Panel &amp; Inputs'!$C$27</f>
        <v>41211240.0009363</v>
      </c>
      <c r="K12" s="48" t="n">
        <f aca="false">E30-$F12-MAX(0,E30-'Control Panel &amp; Inputs'!$C$22/5-MIN(-IPMT('Control Panel &amp; Inputs'!$C$25,4,'Control Panel &amp; Inputs'!$C$26,$D12),'Control Panel &amp; Inputs'!$C$28*E30))*'Control Panel &amp; Inputs'!$C$27</f>
        <v>42309038.5971245</v>
      </c>
      <c r="L12" s="48" t="n">
        <f aca="false">F30-$F12-MAX(0,F30-'Control Panel &amp; Inputs'!$C$22/5-MIN(-IPMT('Control Panel &amp; Inputs'!$C$25,5,'Control Panel &amp; Inputs'!$C$26,$D12),'Control Panel &amp; Inputs'!$C$28*F30))*'Control Panel &amp; Inputs'!$C$27+'Control Panel &amp; Inputs'!$C$22*'Control Panel &amp; Inputs'!$C$23</f>
        <v>57438555.6101184</v>
      </c>
      <c r="M12" s="49" t="n">
        <f aca="false">IRR(G12:L12)</f>
        <v>1.26506825092475</v>
      </c>
      <c r="N12" s="50" t="n">
        <f aca="false">AVERAGE(B30:F30)/$F12</f>
        <v>2.60639510233012</v>
      </c>
    </row>
    <row r="13" customFormat="false" ht="15" hidden="false" customHeight="false" outlineLevel="0" collapsed="false">
      <c r="A13" s="6" t="s">
        <v>273</v>
      </c>
      <c r="B13" s="46" t="n">
        <v>0.08</v>
      </c>
      <c r="C13" s="47" t="n">
        <v>0.5</v>
      </c>
      <c r="D13" s="48" t="n">
        <f aca="false">'Control Panel &amp; Inputs'!$C$22*$C13</f>
        <v>69750000</v>
      </c>
      <c r="E13" s="48" t="n">
        <f aca="false">'Control Panel &amp; Inputs'!$C$22-$D13</f>
        <v>69750000</v>
      </c>
      <c r="F13" s="48" t="n">
        <f aca="false">-PMT('Control Panel &amp; Inputs'!$C$25,'Control Panel &amp; Inputs'!$C$26,$D13)</f>
        <v>16784258.9974247</v>
      </c>
      <c r="G13" s="48" t="n">
        <f aca="false">-$E13</f>
        <v>-69750000</v>
      </c>
      <c r="H13" s="48" t="n">
        <f aca="false">B31-$F13-MAX(0,B31-'Control Panel &amp; Inputs'!$C$22/5-MIN(-IPMT('Control Panel &amp; Inputs'!$C$25,1,'Control Panel &amp; Inputs'!$C$26,$D13),'Control Panel &amp; Inputs'!$C$28*B31))*'Control Panel &amp; Inputs'!$C$27</f>
        <v>40218869.5597606</v>
      </c>
      <c r="I13" s="48" t="n">
        <f aca="false">C31-$F13-MAX(0,C31-'Control Panel &amp; Inputs'!$C$22/5-MIN(-IPMT('Control Panel &amp; Inputs'!$C$25,2,'Control Panel &amp; Inputs'!$C$26,$D13),'Control Panel &amp; Inputs'!$C$28*C31))*'Control Panel &amp; Inputs'!$C$27</f>
        <v>48831235.2032694</v>
      </c>
      <c r="J13" s="48" t="n">
        <f aca="false">D31-$F13-MAX(0,D31-'Control Panel &amp; Inputs'!$C$22/5-MIN(-IPMT('Control Panel &amp; Inputs'!$C$25,3,'Control Panel &amp; Inputs'!$C$26,$D13),'Control Panel &amp; Inputs'!$C$28*D31))*'Control Panel &amp; Inputs'!$C$27</f>
        <v>49873686.9171547</v>
      </c>
      <c r="K13" s="48" t="n">
        <f aca="false">E31-$F13-MAX(0,E31-'Control Panel &amp; Inputs'!$C$22/5-MIN(-IPMT('Control Panel &amp; Inputs'!$C$25,4,'Control Panel &amp; Inputs'!$C$26,$D13),'Control Panel &amp; Inputs'!$C$28*E31))*'Control Panel &amp; Inputs'!$C$27</f>
        <v>50995214.7889847</v>
      </c>
      <c r="L13" s="48" t="n">
        <f aca="false">F31-$F13-MAX(0,F31-'Control Panel &amp; Inputs'!$C$22/5-MIN(-IPMT('Control Panel &amp; Inputs'!$C$25,5,'Control Panel &amp; Inputs'!$C$26,$D13),'Control Panel &amp; Inputs'!$C$28*F31))*'Control Panel &amp; Inputs'!$C$27+'Control Panel &amp; Inputs'!$C$22*'Control Panel &amp; Inputs'!$C$23</f>
        <v>66151130.3520951</v>
      </c>
      <c r="M13" s="49" t="n">
        <f aca="false">IRR(G13:L13)</f>
        <v>0.607230227403353</v>
      </c>
      <c r="N13" s="50" t="n">
        <f aca="false">AVERAGE(B31:F31)/$F13</f>
        <v>4.08822370782512</v>
      </c>
    </row>
    <row r="14" customFormat="false" ht="15" hidden="false" customHeight="false" outlineLevel="0" collapsed="false">
      <c r="A14" s="6" t="s">
        <v>274</v>
      </c>
      <c r="B14" s="46" t="n">
        <v>0.08</v>
      </c>
      <c r="C14" s="47" t="n">
        <v>0.6</v>
      </c>
      <c r="D14" s="48" t="n">
        <f aca="false">'Control Panel &amp; Inputs'!$C$22*$C14</f>
        <v>83700000</v>
      </c>
      <c r="E14" s="48" t="n">
        <f aca="false">'Control Panel &amp; Inputs'!$C$22-$D14</f>
        <v>55800000</v>
      </c>
      <c r="F14" s="48" t="n">
        <f aca="false">-PMT('Control Panel &amp; Inputs'!$C$25,'Control Panel &amp; Inputs'!$C$26,$D14)</f>
        <v>20141110.7969096</v>
      </c>
      <c r="G14" s="48" t="n">
        <f aca="false">-$E14</f>
        <v>-55800000</v>
      </c>
      <c r="H14" s="48" t="n">
        <f aca="false">B32-$F14-MAX(0,B32-'Control Panel &amp; Inputs'!$C$22/5-MIN(-IPMT('Control Panel &amp; Inputs'!$C$25,1,'Control Panel &amp; Inputs'!$C$26,$D14),'Control Panel &amp; Inputs'!$C$28*B32))*'Control Panel &amp; Inputs'!$C$27</f>
        <v>36943625.2602756</v>
      </c>
      <c r="I14" s="48" t="n">
        <f aca="false">C32-$F14-MAX(0,C32-'Control Panel &amp; Inputs'!$C$22/5-MIN(-IPMT('Control Panel &amp; Inputs'!$C$25,2,'Control Panel &amp; Inputs'!$C$26,$D14),'Control Panel &amp; Inputs'!$C$28*C32))*'Control Panel &amp; Inputs'!$C$27</f>
        <v>45541657.8082574</v>
      </c>
      <c r="J14" s="48" t="n">
        <f aca="false">D32-$F14-MAX(0,D32-'Control Panel &amp; Inputs'!$C$22/5-MIN(-IPMT('Control Panel &amp; Inputs'!$C$25,3,'Control Panel &amp; Inputs'!$C$26,$D14),'Control Panel &amp; Inputs'!$C$28*D32))*'Control Panel &amp; Inputs'!$C$27</f>
        <v>46568844.7754066</v>
      </c>
      <c r="K14" s="48" t="n">
        <f aca="false">E32-$F14-MAX(0,E32-'Control Panel &amp; Inputs'!$C$22/5-MIN(-IPMT('Control Panel &amp; Inputs'!$C$25,4,'Control Panel &amp; Inputs'!$C$26,$D14),'Control Panel &amp; Inputs'!$C$28*E32))*'Control Panel &amp; Inputs'!$C$27</f>
        <v>47674115.6919624</v>
      </c>
      <c r="L14" s="48" t="n">
        <f aca="false">F32-$F14-MAX(0,F32-'Control Panel &amp; Inputs'!$C$22/5-MIN(-IPMT('Control Panel &amp; Inputs'!$C$25,5,'Control Panel &amp; Inputs'!$C$26,$D14),'Control Panel &amp; Inputs'!$C$28*F32))*'Control Panel &amp; Inputs'!$C$27+'Control Panel &amp; Inputs'!$C$22*'Control Panel &amp; Inputs'!$C$23</f>
        <v>62812717.597706</v>
      </c>
      <c r="M14" s="49" t="n">
        <f aca="false">IRR(G14:L14)</f>
        <v>0.717819474593702</v>
      </c>
      <c r="N14" s="50" t="n">
        <f aca="false">AVERAGE(B32:F32)/$F14</f>
        <v>3.40685308985427</v>
      </c>
    </row>
    <row r="15" customFormat="false" ht="15" hidden="false" customHeight="false" outlineLevel="0" collapsed="false">
      <c r="A15" s="6" t="s">
        <v>275</v>
      </c>
      <c r="B15" s="46" t="n">
        <v>0.08</v>
      </c>
      <c r="C15" s="47" t="n">
        <v>0.7</v>
      </c>
      <c r="D15" s="48" t="n">
        <f aca="false">'Control Panel &amp; Inputs'!$C$22*$C15</f>
        <v>97650000</v>
      </c>
      <c r="E15" s="48" t="n">
        <f aca="false">'Control Panel &amp; Inputs'!$C$22-$D15</f>
        <v>41850000</v>
      </c>
      <c r="F15" s="48" t="n">
        <f aca="false">-PMT('Control Panel &amp; Inputs'!$C$25,'Control Panel &amp; Inputs'!$C$26,$D15)</f>
        <v>23497962.5963946</v>
      </c>
      <c r="G15" s="48" t="n">
        <f aca="false">-$E15</f>
        <v>-41850000</v>
      </c>
      <c r="H15" s="48" t="n">
        <f aca="false">B33-$F15-MAX(0,B33-'Control Panel &amp; Inputs'!$C$22/5-MIN(-IPMT('Control Panel &amp; Inputs'!$C$25,1,'Control Panel &amp; Inputs'!$C$26,$D15),'Control Panel &amp; Inputs'!$C$28*B33))*'Control Panel &amp; Inputs'!$C$27</f>
        <v>33668380.9607907</v>
      </c>
      <c r="I15" s="48" t="n">
        <f aca="false">C33-$F15-MAX(0,C33-'Control Panel &amp; Inputs'!$C$22/5-MIN(-IPMT('Control Panel &amp; Inputs'!$C$25,2,'Control Panel &amp; Inputs'!$C$26,$D15),'Control Panel &amp; Inputs'!$C$28*C33))*'Control Panel &amp; Inputs'!$C$27</f>
        <v>42252080.4132455</v>
      </c>
      <c r="J15" s="48" t="n">
        <f aca="false">D33-$F15-MAX(0,D33-'Control Panel &amp; Inputs'!$C$22/5-MIN(-IPMT('Control Panel &amp; Inputs'!$C$25,3,'Control Panel &amp; Inputs'!$C$26,$D15),'Control Panel &amp; Inputs'!$C$28*D33))*'Control Panel &amp; Inputs'!$C$27</f>
        <v>43264002.6336584</v>
      </c>
      <c r="K15" s="48" t="n">
        <f aca="false">E33-$F15-MAX(0,E33-'Control Panel &amp; Inputs'!$C$22/5-MIN(-IPMT('Control Panel &amp; Inputs'!$C$25,4,'Control Panel &amp; Inputs'!$C$26,$D15),'Control Panel &amp; Inputs'!$C$28*E33))*'Control Panel &amp; Inputs'!$C$27</f>
        <v>44353016.5949401</v>
      </c>
      <c r="L15" s="48" t="n">
        <f aca="false">F33-$F15-MAX(0,F33-'Control Panel &amp; Inputs'!$C$22/5-MIN(-IPMT('Control Panel &amp; Inputs'!$C$25,5,'Control Panel &amp; Inputs'!$C$26,$D15),'Control Panel &amp; Inputs'!$C$28*F33))*'Control Panel &amp; Inputs'!$C$27+'Control Panel &amp; Inputs'!$C$22*'Control Panel &amp; Inputs'!$C$23</f>
        <v>59474304.8433168</v>
      </c>
      <c r="M15" s="49" t="n">
        <f aca="false">IRR(G15:L15)</f>
        <v>0.893112538570458</v>
      </c>
      <c r="N15" s="50" t="n">
        <f aca="false">AVERAGE(B33:F33)/$F15</f>
        <v>2.92015979130366</v>
      </c>
    </row>
    <row r="16" customFormat="false" ht="15" hidden="false" customHeight="false" outlineLevel="0" collapsed="false">
      <c r="A16" s="6" t="s">
        <v>276</v>
      </c>
      <c r="B16" s="46" t="n">
        <v>0.08</v>
      </c>
      <c r="C16" s="47" t="n">
        <v>0.8</v>
      </c>
      <c r="D16" s="48" t="n">
        <f aca="false">'Control Panel &amp; Inputs'!$C$22*$C16</f>
        <v>111600000</v>
      </c>
      <c r="E16" s="48" t="n">
        <f aca="false">'Control Panel &amp; Inputs'!$C$22-$D16</f>
        <v>27900000</v>
      </c>
      <c r="F16" s="48" t="n">
        <f aca="false">-PMT('Control Panel &amp; Inputs'!$C$25,'Control Panel &amp; Inputs'!$C$26,$D16)</f>
        <v>26854814.3958795</v>
      </c>
      <c r="G16" s="48" t="n">
        <f aca="false">-$E16</f>
        <v>-27900000</v>
      </c>
      <c r="H16" s="48" t="n">
        <f aca="false">B34-$F16-MAX(0,B34-'Control Panel &amp; Inputs'!$C$22/5-MIN(-IPMT('Control Panel &amp; Inputs'!$C$25,1,'Control Panel &amp; Inputs'!$C$26,$D16),'Control Panel &amp; Inputs'!$C$28*B34))*'Control Panel &amp; Inputs'!$C$27</f>
        <v>30393136.6613058</v>
      </c>
      <c r="I16" s="48" t="n">
        <f aca="false">C34-$F16-MAX(0,C34-'Control Panel &amp; Inputs'!$C$22/5-MIN(-IPMT('Control Panel &amp; Inputs'!$C$25,2,'Control Panel &amp; Inputs'!$C$26,$D16),'Control Panel &amp; Inputs'!$C$28*C34))*'Control Panel &amp; Inputs'!$C$27</f>
        <v>38962503.0182336</v>
      </c>
      <c r="J16" s="48" t="n">
        <f aca="false">D34-$F16-MAX(0,D34-'Control Panel &amp; Inputs'!$C$22/5-MIN(-IPMT('Control Panel &amp; Inputs'!$C$25,3,'Control Panel &amp; Inputs'!$C$26,$D16),'Control Panel &amp; Inputs'!$C$28*D34))*'Control Panel &amp; Inputs'!$C$27</f>
        <v>39959160.4919102</v>
      </c>
      <c r="K16" s="48" t="n">
        <f aca="false">E34-$F16-MAX(0,E34-'Control Panel &amp; Inputs'!$C$22/5-MIN(-IPMT('Control Panel &amp; Inputs'!$C$25,4,'Control Panel &amp; Inputs'!$C$26,$D16),'Control Panel &amp; Inputs'!$C$28*E34))*'Control Panel &amp; Inputs'!$C$27</f>
        <v>41031917.4979179</v>
      </c>
      <c r="L16" s="48" t="n">
        <f aca="false">F34-$F16-MAX(0,F34-'Control Panel &amp; Inputs'!$C$22/5-MIN(-IPMT('Control Panel &amp; Inputs'!$C$25,5,'Control Panel &amp; Inputs'!$C$26,$D16),'Control Panel &amp; Inputs'!$C$28*F34))*'Control Panel &amp; Inputs'!$C$27+'Control Panel &amp; Inputs'!$C$22*'Control Panel &amp; Inputs'!$C$23</f>
        <v>56135892.0889276</v>
      </c>
      <c r="M16" s="49" t="n">
        <f aca="false">IRR(G16:L16)</f>
        <v>1.22335056745985</v>
      </c>
      <c r="N16" s="50" t="n">
        <f aca="false">AVERAGE(B34:F34)/$F16</f>
        <v>2.5551398173907</v>
      </c>
    </row>
    <row r="17" customFormat="false" ht="15" hidden="false" customHeight="false" outlineLevel="0" collapsed="false">
      <c r="A17" s="6" t="s">
        <v>277</v>
      </c>
      <c r="B17" s="46" t="n">
        <v>0.1</v>
      </c>
      <c r="C17" s="47" t="n">
        <v>0.5</v>
      </c>
      <c r="D17" s="48" t="n">
        <f aca="false">'Control Panel &amp; Inputs'!$C$22*$C17</f>
        <v>69750000</v>
      </c>
      <c r="E17" s="48" t="n">
        <f aca="false">'Control Panel &amp; Inputs'!$C$22-$D17</f>
        <v>69750000</v>
      </c>
      <c r="F17" s="48" t="n">
        <f aca="false">-PMT('Control Panel &amp; Inputs'!$C$25,'Control Panel &amp; Inputs'!$C$26,$D17)</f>
        <v>16784258.9974247</v>
      </c>
      <c r="G17" s="48" t="n">
        <f aca="false">-$E17</f>
        <v>-69750000</v>
      </c>
      <c r="H17" s="48" t="n">
        <f aca="false">B35-$F17-MAX(0,B35-'Control Panel &amp; Inputs'!$C$22/5-MIN(-IPMT('Control Panel &amp; Inputs'!$C$25,1,'Control Panel &amp; Inputs'!$C$26,$D17),'Control Panel &amp; Inputs'!$C$28*B35))*'Control Panel &amp; Inputs'!$C$27</f>
        <v>39015409.8240569</v>
      </c>
      <c r="I17" s="48" t="n">
        <f aca="false">C35-$F17-MAX(0,C35-'Control Panel &amp; Inputs'!$C$22/5-MIN(-IPMT('Control Panel &amp; Inputs'!$C$25,2,'Control Panel &amp; Inputs'!$C$26,$D17),'Control Panel &amp; Inputs'!$C$28*C35))*'Control Panel &amp; Inputs'!$C$27</f>
        <v>47603706.2728516</v>
      </c>
      <c r="J17" s="48" t="n">
        <f aca="false">D35-$F17-MAX(0,D35-'Control Panel &amp; Inputs'!$C$22/5-MIN(-IPMT('Control Panel &amp; Inputs'!$C$25,3,'Control Panel &amp; Inputs'!$C$26,$D17),'Control Panel &amp; Inputs'!$C$28*D35))*'Control Panel &amp; Inputs'!$C$27</f>
        <v>48621607.4081286</v>
      </c>
      <c r="K17" s="48" t="n">
        <f aca="false">E35-$F17-MAX(0,E35-'Control Panel &amp; Inputs'!$C$22/5-MIN(-IPMT('Control Panel &amp; Inputs'!$C$25,4,'Control Panel &amp; Inputs'!$C$26,$D17),'Control Panel &amp; Inputs'!$C$28*E35))*'Control Panel &amp; Inputs'!$C$27</f>
        <v>49718093.689778</v>
      </c>
      <c r="L17" s="48" t="n">
        <f aca="false">F35-$F17-MAX(0,F35-'Control Panel &amp; Inputs'!$C$22/5-MIN(-IPMT('Control Panel &amp; Inputs'!$C$25,5,'Control Panel &amp; Inputs'!$C$26,$D17),'Control Panel &amp; Inputs'!$C$28*F35))*'Control Panel &amp; Inputs'!$C$27+'Control Panel &amp; Inputs'!$C$22*'Control Panel &amp; Inputs'!$C$23</f>
        <v>64848466.8309044</v>
      </c>
      <c r="M17" s="49" t="n">
        <f aca="false">IRR(G17:L17)</f>
        <v>0.588762837234268</v>
      </c>
      <c r="N17" s="50" t="n">
        <f aca="false">AVERAGE(B35:F35)/$F17</f>
        <v>4.00621525192205</v>
      </c>
    </row>
    <row r="18" customFormat="false" ht="15" hidden="false" customHeight="false" outlineLevel="0" collapsed="false">
      <c r="A18" s="6" t="s">
        <v>278</v>
      </c>
      <c r="B18" s="46" t="n">
        <v>0.1</v>
      </c>
      <c r="C18" s="47" t="n">
        <v>0.6</v>
      </c>
      <c r="D18" s="48" t="n">
        <f aca="false">'Control Panel &amp; Inputs'!$C$22*$C18</f>
        <v>83700000</v>
      </c>
      <c r="E18" s="48" t="n">
        <f aca="false">'Control Panel &amp; Inputs'!$C$22-$D18</f>
        <v>55800000</v>
      </c>
      <c r="F18" s="48" t="n">
        <f aca="false">-PMT('Control Panel &amp; Inputs'!$C$25,'Control Panel &amp; Inputs'!$C$26,$D18)</f>
        <v>20141110.7969096</v>
      </c>
      <c r="G18" s="48" t="n">
        <f aca="false">-$E18</f>
        <v>-55800000</v>
      </c>
      <c r="H18" s="48" t="n">
        <f aca="false">B36-$F18-MAX(0,B36-'Control Panel &amp; Inputs'!$C$22/5-MIN(-IPMT('Control Panel &amp; Inputs'!$C$25,1,'Control Panel &amp; Inputs'!$C$26,$D18),'Control Panel &amp; Inputs'!$C$28*B36))*'Control Panel &amp; Inputs'!$C$27</f>
        <v>35740165.524572</v>
      </c>
      <c r="I18" s="48" t="n">
        <f aca="false">C36-$F18-MAX(0,C36-'Control Panel &amp; Inputs'!$C$22/5-MIN(-IPMT('Control Panel &amp; Inputs'!$C$25,2,'Control Panel &amp; Inputs'!$C$26,$D18),'Control Panel &amp; Inputs'!$C$28*C36))*'Control Panel &amp; Inputs'!$C$27</f>
        <v>44314128.8778397</v>
      </c>
      <c r="J18" s="48" t="n">
        <f aca="false">D36-$F18-MAX(0,D36-'Control Panel &amp; Inputs'!$C$22/5-MIN(-IPMT('Control Panel &amp; Inputs'!$C$25,3,'Control Panel &amp; Inputs'!$C$26,$D18),'Control Panel &amp; Inputs'!$C$28*D36))*'Control Panel &amp; Inputs'!$C$27</f>
        <v>45316765.2663805</v>
      </c>
      <c r="K18" s="48" t="n">
        <f aca="false">E36-$F18-MAX(0,E36-'Control Panel &amp; Inputs'!$C$22/5-MIN(-IPMT('Control Panel &amp; Inputs'!$C$25,4,'Control Panel &amp; Inputs'!$C$26,$D18),'Control Panel &amp; Inputs'!$C$28*E36))*'Control Panel &amp; Inputs'!$C$27</f>
        <v>46396994.5927558</v>
      </c>
      <c r="L18" s="48" t="n">
        <f aca="false">F36-$F18-MAX(0,F36-'Control Panel &amp; Inputs'!$C$22/5-MIN(-IPMT('Control Panel &amp; Inputs'!$C$25,5,'Control Panel &amp; Inputs'!$C$26,$D18),'Control Panel &amp; Inputs'!$C$28*F36))*'Control Panel &amp; Inputs'!$C$27+'Control Panel &amp; Inputs'!$C$22*'Control Panel &amp; Inputs'!$C$23</f>
        <v>61510054.0765152</v>
      </c>
      <c r="M18" s="49" t="n">
        <f aca="false">IRR(G18:L18)</f>
        <v>0.695449303949312</v>
      </c>
      <c r="N18" s="50" t="n">
        <f aca="false">AVERAGE(B36:F36)/$F18</f>
        <v>3.33851270993504</v>
      </c>
    </row>
    <row r="19" customFormat="false" ht="15" hidden="false" customHeight="false" outlineLevel="0" collapsed="false">
      <c r="A19" s="6" t="s">
        <v>279</v>
      </c>
      <c r="B19" s="46" t="n">
        <v>0.1</v>
      </c>
      <c r="C19" s="47" t="n">
        <v>0.7</v>
      </c>
      <c r="D19" s="48" t="n">
        <f aca="false">'Control Panel &amp; Inputs'!$C$22*$C19</f>
        <v>97650000</v>
      </c>
      <c r="E19" s="48" t="n">
        <f aca="false">'Control Panel &amp; Inputs'!$C$22-$D19</f>
        <v>41850000</v>
      </c>
      <c r="F19" s="48" t="n">
        <f aca="false">-PMT('Control Panel &amp; Inputs'!$C$25,'Control Panel &amp; Inputs'!$C$26,$D19)</f>
        <v>23497962.5963946</v>
      </c>
      <c r="G19" s="48" t="n">
        <f aca="false">-$E19</f>
        <v>-41850000</v>
      </c>
      <c r="H19" s="48" t="n">
        <f aca="false">B37-$F19-MAX(0,B37-'Control Panel &amp; Inputs'!$C$22/5-MIN(-IPMT('Control Panel &amp; Inputs'!$C$25,1,'Control Panel &amp; Inputs'!$C$26,$D19),'Control Panel &amp; Inputs'!$C$28*B37))*'Control Panel &amp; Inputs'!$C$27</f>
        <v>32464921.225087</v>
      </c>
      <c r="I19" s="48" t="n">
        <f aca="false">C37-$F19-MAX(0,C37-'Control Panel &amp; Inputs'!$C$22/5-MIN(-IPMT('Control Panel &amp; Inputs'!$C$25,2,'Control Panel &amp; Inputs'!$C$26,$D19),'Control Panel &amp; Inputs'!$C$28*C37))*'Control Panel &amp; Inputs'!$C$27</f>
        <v>41024551.4828278</v>
      </c>
      <c r="J19" s="48" t="n">
        <f aca="false">D37-$F19-MAX(0,D37-'Control Panel &amp; Inputs'!$C$22/5-MIN(-IPMT('Control Panel &amp; Inputs'!$C$25,3,'Control Panel &amp; Inputs'!$C$26,$D19),'Control Panel &amp; Inputs'!$C$28*D37))*'Control Panel &amp; Inputs'!$C$27</f>
        <v>42011923.1246323</v>
      </c>
      <c r="K19" s="48" t="n">
        <f aca="false">E37-$F19-MAX(0,E37-'Control Panel &amp; Inputs'!$C$22/5-MIN(-IPMT('Control Panel &amp; Inputs'!$C$25,4,'Control Panel &amp; Inputs'!$C$26,$D19),'Control Panel &amp; Inputs'!$C$28*E37))*'Control Panel &amp; Inputs'!$C$27</f>
        <v>43075895.4957335</v>
      </c>
      <c r="L19" s="48" t="n">
        <f aca="false">F37-$F19-MAX(0,F37-'Control Panel &amp; Inputs'!$C$22/5-MIN(-IPMT('Control Panel &amp; Inputs'!$C$25,5,'Control Panel &amp; Inputs'!$C$26,$D19),'Control Panel &amp; Inputs'!$C$28*F37))*'Control Panel &amp; Inputs'!$C$27+'Control Panel &amp; Inputs'!$C$22*'Control Panel &amp; Inputs'!$C$23</f>
        <v>58171641.322126</v>
      </c>
      <c r="M19" s="49" t="n">
        <f aca="false">IRR(G19:L19)</f>
        <v>0.864305027747797</v>
      </c>
      <c r="N19" s="50" t="n">
        <f aca="false">AVERAGE(B37:F37)/$F19</f>
        <v>2.86158232280146</v>
      </c>
    </row>
    <row r="20" customFormat="false" ht="15" hidden="false" customHeight="false" outlineLevel="0" collapsed="false">
      <c r="A20" s="6" t="s">
        <v>280</v>
      </c>
      <c r="B20" s="46" t="n">
        <v>0.1</v>
      </c>
      <c r="C20" s="47" t="n">
        <v>0.8</v>
      </c>
      <c r="D20" s="48" t="n">
        <f aca="false">'Control Panel &amp; Inputs'!$C$22*$C20</f>
        <v>111600000</v>
      </c>
      <c r="E20" s="48" t="n">
        <f aca="false">'Control Panel &amp; Inputs'!$C$22-$D20</f>
        <v>27900000</v>
      </c>
      <c r="F20" s="48" t="n">
        <f aca="false">-PMT('Control Panel &amp; Inputs'!$C$25,'Control Panel &amp; Inputs'!$C$26,$D20)</f>
        <v>26854814.3958795</v>
      </c>
      <c r="G20" s="48" t="n">
        <f aca="false">-$E20</f>
        <v>-27900000</v>
      </c>
      <c r="H20" s="48" t="n">
        <f aca="false">B38-$F20-MAX(0,B38-'Control Panel &amp; Inputs'!$C$22/5-MIN(-IPMT('Control Panel &amp; Inputs'!$C$25,1,'Control Panel &amp; Inputs'!$C$26,$D20),'Control Panel &amp; Inputs'!$C$28*B38))*'Control Panel &amp; Inputs'!$C$27</f>
        <v>29189676.9256021</v>
      </c>
      <c r="I20" s="48" t="n">
        <f aca="false">C38-$F20-MAX(0,C38-'Control Panel &amp; Inputs'!$C$22/5-MIN(-IPMT('Control Panel &amp; Inputs'!$C$25,2,'Control Panel &amp; Inputs'!$C$26,$D20),'Control Panel &amp; Inputs'!$C$28*C38))*'Control Panel &amp; Inputs'!$C$27</f>
        <v>37734974.0878158</v>
      </c>
      <c r="J20" s="48" t="n">
        <f aca="false">D38-$F20-MAX(0,D38-'Control Panel &amp; Inputs'!$C$22/5-MIN(-IPMT('Control Panel &amp; Inputs'!$C$25,3,'Control Panel &amp; Inputs'!$C$26,$D20),'Control Panel &amp; Inputs'!$C$28*D38))*'Control Panel &amp; Inputs'!$C$27</f>
        <v>38707080.9828841</v>
      </c>
      <c r="K20" s="48" t="n">
        <f aca="false">E38-$F20-MAX(0,E38-'Control Panel &amp; Inputs'!$C$22/5-MIN(-IPMT('Control Panel &amp; Inputs'!$C$25,4,'Control Panel &amp; Inputs'!$C$26,$D20),'Control Panel &amp; Inputs'!$C$28*E38))*'Control Panel &amp; Inputs'!$C$27</f>
        <v>39754796.3987112</v>
      </c>
      <c r="L20" s="48" t="n">
        <f aca="false">F38-$F20-MAX(0,F38-'Control Panel &amp; Inputs'!$C$22/5-MIN(-IPMT('Control Panel &amp; Inputs'!$C$25,5,'Control Panel &amp; Inputs'!$C$26,$D20),'Control Panel &amp; Inputs'!$C$28*F38))*'Control Panel &amp; Inputs'!$C$27+'Control Panel &amp; Inputs'!$C$22*'Control Panel &amp; Inputs'!$C$23</f>
        <v>54833228.5677368</v>
      </c>
      <c r="M20" s="49" t="n">
        <f aca="false">IRR(G20:L20)</f>
        <v>1.18164323060214</v>
      </c>
      <c r="N20" s="50" t="n">
        <f aca="false">AVERAGE(B38:F38)/$F20</f>
        <v>2.50388453245128</v>
      </c>
    </row>
    <row r="21" customFormat="false" ht="15" hidden="false" customHeight="false" outlineLevel="0" collapsed="false">
      <c r="A21" s="38" t="s">
        <v>281</v>
      </c>
    </row>
    <row r="22" customFormat="false" ht="15" hidden="false" customHeight="false" outlineLevel="0" collapsed="false">
      <c r="A22" s="3" t="s">
        <v>251</v>
      </c>
      <c r="B22" s="3" t="s">
        <v>282</v>
      </c>
      <c r="C22" s="3" t="s">
        <v>283</v>
      </c>
      <c r="D22" s="3" t="s">
        <v>284</v>
      </c>
      <c r="E22" s="3" t="s">
        <v>285</v>
      </c>
      <c r="F22" s="3" t="s">
        <v>286</v>
      </c>
    </row>
    <row r="23" customFormat="false" ht="15" hidden="false" customHeight="false" outlineLevel="0" collapsed="false">
      <c r="A23" s="51" t="str">
        <f aca="false">A5</f>
        <v>$0.04/kWh @ 50% debt</v>
      </c>
      <c r="B23" s="48" t="n">
        <f aca="false">'5Yr Pro Forma Financials'!C$8-'5Yr Pro Forma Financials'!C$12-'5Yr Pro Forma Financials'!C$10*$B5*POWER(1+'Control Panel &amp; Inputs'!$C$21,0)</f>
        <v>62078033.547904</v>
      </c>
      <c r="C23" s="48" t="n">
        <f aca="false">'5Yr Pro Forma Financials'!D$8-'5Yr Pro Forma Financials'!D$12-'5Yr Pro Forma Financials'!C$10*$B5*POWER(1+'Control Panel &amp; Inputs'!$C$21,1)</f>
        <v>71673824.2188621</v>
      </c>
      <c r="D23" s="48" t="n">
        <f aca="false">'5Yr Pro Forma Financials'!E$8-'5Yr Pro Forma Financials'!E$12-'5Yr Pro Forma Financials'!C$10*$B5*POWER(1+'Control Panel &amp; Inputs'!$C$21,2)</f>
        <v>72957205.1032393</v>
      </c>
      <c r="E23" s="48" t="n">
        <f aca="false">'5Yr Pro Forma Financials'!F$8-'5Yr Pro Forma Financials'!F$12-'5Yr Pro Forma Financials'!C$10*$B5*POWER(1+'Control Panel &amp; Inputs'!$C$21,3)</f>
        <v>74334013.7060541</v>
      </c>
      <c r="F23" s="48" t="n">
        <f aca="false">'5Yr Pro Forma Financials'!G$8-'5Yr Pro Forma Financials'!G$12-'5Yr Pro Forma Financials'!C$10*$B5*POWER(1+'Control Panel &amp; Inputs'!$C$21,4)</f>
        <v>75810462.8202446</v>
      </c>
    </row>
    <row r="24" customFormat="false" ht="15" hidden="false" customHeight="false" outlineLevel="0" collapsed="false">
      <c r="A24" s="51" t="str">
        <f aca="false">A6</f>
        <v>$0.04/kWh @ 60% debt</v>
      </c>
      <c r="B24" s="48" t="n">
        <f aca="false">'5Yr Pro Forma Financials'!C$8-'5Yr Pro Forma Financials'!C$12-'5Yr Pro Forma Financials'!C$10*$B6*POWER(1+'Control Panel &amp; Inputs'!$C$21,0)</f>
        <v>62078033.547904</v>
      </c>
      <c r="C24" s="48" t="n">
        <f aca="false">'5Yr Pro Forma Financials'!D$8-'5Yr Pro Forma Financials'!D$12-'5Yr Pro Forma Financials'!C$10*$B6*POWER(1+'Control Panel &amp; Inputs'!$C$21,1)</f>
        <v>71673824.2188621</v>
      </c>
      <c r="D24" s="48" t="n">
        <f aca="false">'5Yr Pro Forma Financials'!E$8-'5Yr Pro Forma Financials'!E$12-'5Yr Pro Forma Financials'!C$10*$B6*POWER(1+'Control Panel &amp; Inputs'!$C$21,2)</f>
        <v>72957205.1032393</v>
      </c>
      <c r="E24" s="48" t="n">
        <f aca="false">'5Yr Pro Forma Financials'!F$8-'5Yr Pro Forma Financials'!F$12-'5Yr Pro Forma Financials'!C$10*$B6*POWER(1+'Control Panel &amp; Inputs'!$C$21,3)</f>
        <v>74334013.7060541</v>
      </c>
      <c r="F24" s="48" t="n">
        <f aca="false">'5Yr Pro Forma Financials'!G$8-'5Yr Pro Forma Financials'!G$12-'5Yr Pro Forma Financials'!C$10*$B6*POWER(1+'Control Panel &amp; Inputs'!$C$21,4)</f>
        <v>75810462.8202446</v>
      </c>
    </row>
    <row r="25" customFormat="false" ht="15" hidden="false" customHeight="false" outlineLevel="0" collapsed="false">
      <c r="A25" s="51" t="str">
        <f aca="false">A7</f>
        <v>$0.04/kWh @ 70% debt</v>
      </c>
      <c r="B25" s="48" t="n">
        <f aca="false">'5Yr Pro Forma Financials'!C$8-'5Yr Pro Forma Financials'!C$12-'5Yr Pro Forma Financials'!C$10*$B7*POWER(1+'Control Panel &amp; Inputs'!$C$21,0)</f>
        <v>62078033.547904</v>
      </c>
      <c r="C25" s="48" t="n">
        <f aca="false">'5Yr Pro Forma Financials'!D$8-'5Yr Pro Forma Financials'!D$12-'5Yr Pro Forma Financials'!C$10*$B7*POWER(1+'Control Panel &amp; Inputs'!$C$21,1)</f>
        <v>71673824.2188621</v>
      </c>
      <c r="D25" s="48" t="n">
        <f aca="false">'5Yr Pro Forma Financials'!E$8-'5Yr Pro Forma Financials'!E$12-'5Yr Pro Forma Financials'!C$10*$B7*POWER(1+'Control Panel &amp; Inputs'!$C$21,2)</f>
        <v>72957205.1032393</v>
      </c>
      <c r="E25" s="48" t="n">
        <f aca="false">'5Yr Pro Forma Financials'!F$8-'5Yr Pro Forma Financials'!F$12-'5Yr Pro Forma Financials'!C$10*$B7*POWER(1+'Control Panel &amp; Inputs'!$C$21,3)</f>
        <v>74334013.7060541</v>
      </c>
      <c r="F25" s="48" t="n">
        <f aca="false">'5Yr Pro Forma Financials'!G$8-'5Yr Pro Forma Financials'!G$12-'5Yr Pro Forma Financials'!C$10*$B7*POWER(1+'Control Panel &amp; Inputs'!$C$21,4)</f>
        <v>75810462.8202446</v>
      </c>
    </row>
    <row r="26" customFormat="false" ht="15" hidden="false" customHeight="false" outlineLevel="0" collapsed="false">
      <c r="A26" s="51" t="str">
        <f aca="false">A8</f>
        <v>$0.04/kWh @ 80% debt</v>
      </c>
      <c r="B26" s="48" t="n">
        <f aca="false">'5Yr Pro Forma Financials'!C$8-'5Yr Pro Forma Financials'!C$12-'5Yr Pro Forma Financials'!C$10*$B8*POWER(1+'Control Panel &amp; Inputs'!$C$21,0)</f>
        <v>62078033.547904</v>
      </c>
      <c r="C26" s="48" t="n">
        <f aca="false">'5Yr Pro Forma Financials'!D$8-'5Yr Pro Forma Financials'!D$12-'5Yr Pro Forma Financials'!C$10*$B8*POWER(1+'Control Panel &amp; Inputs'!$C$21,1)</f>
        <v>71673824.2188621</v>
      </c>
      <c r="D26" s="48" t="n">
        <f aca="false">'5Yr Pro Forma Financials'!E$8-'5Yr Pro Forma Financials'!E$12-'5Yr Pro Forma Financials'!C$10*$B8*POWER(1+'Control Panel &amp; Inputs'!$C$21,2)</f>
        <v>72957205.1032393</v>
      </c>
      <c r="E26" s="48" t="n">
        <f aca="false">'5Yr Pro Forma Financials'!F$8-'5Yr Pro Forma Financials'!F$12-'5Yr Pro Forma Financials'!C$10*$B8*POWER(1+'Control Panel &amp; Inputs'!$C$21,3)</f>
        <v>74334013.7060541</v>
      </c>
      <c r="F26" s="48" t="n">
        <f aca="false">'5Yr Pro Forma Financials'!G$8-'5Yr Pro Forma Financials'!G$12-'5Yr Pro Forma Financials'!C$10*$B8*POWER(1+'Control Panel &amp; Inputs'!$C$21,4)</f>
        <v>75810462.8202446</v>
      </c>
    </row>
    <row r="27" customFormat="false" ht="15" hidden="false" customHeight="false" outlineLevel="0" collapsed="false">
      <c r="A27" s="51" t="str">
        <f aca="false">A9</f>
        <v>$0.06/kWh @ 50% debt</v>
      </c>
      <c r="B27" s="48" t="n">
        <f aca="false">'5Yr Pro Forma Financials'!C$8-'5Yr Pro Forma Financials'!C$12-'5Yr Pro Forma Financials'!C$10*$B9*POWER(1+'Control Panel &amp; Inputs'!$C$21,0)</f>
        <v>60755550.321856</v>
      </c>
      <c r="C27" s="48" t="n">
        <f aca="false">'5Yr Pro Forma Financials'!D$8-'5Yr Pro Forma Financials'!D$12-'5Yr Pro Forma Financials'!C$10*$B9*POWER(1+'Control Panel &amp; Inputs'!$C$21,1)</f>
        <v>70324891.3282931</v>
      </c>
      <c r="D27" s="48" t="n">
        <f aca="false">'5Yr Pro Forma Financials'!E$8-'5Yr Pro Forma Financials'!E$12-'5Yr Pro Forma Financials'!C$10*$B9*POWER(1+'Control Panel &amp; Inputs'!$C$21,2)</f>
        <v>71581293.554859</v>
      </c>
      <c r="E27" s="48" t="n">
        <f aca="false">'5Yr Pro Forma Financials'!F$8-'5Yr Pro Forma Financials'!F$12-'5Yr Pro Forma Financials'!C$10*$B9*POWER(1+'Control Panel &amp; Inputs'!$C$21,3)</f>
        <v>72930583.9267062</v>
      </c>
      <c r="F27" s="48" t="n">
        <f aca="false">'5Yr Pro Forma Financials'!G$8-'5Yr Pro Forma Financials'!G$12-'5Yr Pro Forma Financials'!C$10*$B9*POWER(1+'Control Panel &amp; Inputs'!$C$21,4)</f>
        <v>74378964.4453097</v>
      </c>
    </row>
    <row r="28" customFormat="false" ht="15" hidden="false" customHeight="false" outlineLevel="0" collapsed="false">
      <c r="A28" s="51" t="str">
        <f aca="false">A10</f>
        <v>$0.06/kWh @ 60% debt</v>
      </c>
      <c r="B28" s="48" t="n">
        <f aca="false">'5Yr Pro Forma Financials'!C$8-'5Yr Pro Forma Financials'!C$12-'5Yr Pro Forma Financials'!C$10*$B10*POWER(1+'Control Panel &amp; Inputs'!$C$21,0)</f>
        <v>60755550.321856</v>
      </c>
      <c r="C28" s="48" t="n">
        <f aca="false">'5Yr Pro Forma Financials'!D$8-'5Yr Pro Forma Financials'!D$12-'5Yr Pro Forma Financials'!C$10*$B10*POWER(1+'Control Panel &amp; Inputs'!$C$21,1)</f>
        <v>70324891.3282931</v>
      </c>
      <c r="D28" s="48" t="n">
        <f aca="false">'5Yr Pro Forma Financials'!E$8-'5Yr Pro Forma Financials'!E$12-'5Yr Pro Forma Financials'!C$10*$B10*POWER(1+'Control Panel &amp; Inputs'!$C$21,2)</f>
        <v>71581293.554859</v>
      </c>
      <c r="E28" s="48" t="n">
        <f aca="false">'5Yr Pro Forma Financials'!F$8-'5Yr Pro Forma Financials'!F$12-'5Yr Pro Forma Financials'!C$10*$B10*POWER(1+'Control Panel &amp; Inputs'!$C$21,3)</f>
        <v>72930583.9267062</v>
      </c>
      <c r="F28" s="48" t="n">
        <f aca="false">'5Yr Pro Forma Financials'!G$8-'5Yr Pro Forma Financials'!G$12-'5Yr Pro Forma Financials'!C$10*$B10*POWER(1+'Control Panel &amp; Inputs'!$C$21,4)</f>
        <v>74378964.4453097</v>
      </c>
    </row>
    <row r="29" customFormat="false" ht="15" hidden="false" customHeight="false" outlineLevel="0" collapsed="false">
      <c r="A29" s="51" t="str">
        <f aca="false">A11</f>
        <v>$0.06/kWh @ 70% debt</v>
      </c>
      <c r="B29" s="48" t="n">
        <f aca="false">'5Yr Pro Forma Financials'!C$8-'5Yr Pro Forma Financials'!C$12-'5Yr Pro Forma Financials'!C$10*$B11*POWER(1+'Control Panel &amp; Inputs'!$C$21,0)</f>
        <v>60755550.321856</v>
      </c>
      <c r="C29" s="48" t="n">
        <f aca="false">'5Yr Pro Forma Financials'!D$8-'5Yr Pro Forma Financials'!D$12-'5Yr Pro Forma Financials'!C$10*$B11*POWER(1+'Control Panel &amp; Inputs'!$C$21,1)</f>
        <v>70324891.3282931</v>
      </c>
      <c r="D29" s="48" t="n">
        <f aca="false">'5Yr Pro Forma Financials'!E$8-'5Yr Pro Forma Financials'!E$12-'5Yr Pro Forma Financials'!C$10*$B11*POWER(1+'Control Panel &amp; Inputs'!$C$21,2)</f>
        <v>71581293.554859</v>
      </c>
      <c r="E29" s="48" t="n">
        <f aca="false">'5Yr Pro Forma Financials'!F$8-'5Yr Pro Forma Financials'!F$12-'5Yr Pro Forma Financials'!C$10*$B11*POWER(1+'Control Panel &amp; Inputs'!$C$21,3)</f>
        <v>72930583.9267062</v>
      </c>
      <c r="F29" s="48" t="n">
        <f aca="false">'5Yr Pro Forma Financials'!G$8-'5Yr Pro Forma Financials'!G$12-'5Yr Pro Forma Financials'!C$10*$B11*POWER(1+'Control Panel &amp; Inputs'!$C$21,4)</f>
        <v>74378964.4453097</v>
      </c>
    </row>
    <row r="30" customFormat="false" ht="15" hidden="false" customHeight="false" outlineLevel="0" collapsed="false">
      <c r="A30" s="51" t="str">
        <f aca="false">A12</f>
        <v>$0.06/kWh @ 80% debt</v>
      </c>
      <c r="B30" s="48" t="n">
        <f aca="false">'5Yr Pro Forma Financials'!C$8-'5Yr Pro Forma Financials'!C$12-'5Yr Pro Forma Financials'!C$10*$B12*POWER(1+'Control Panel &amp; Inputs'!$C$21,0)</f>
        <v>60755550.321856</v>
      </c>
      <c r="C30" s="48" t="n">
        <f aca="false">'5Yr Pro Forma Financials'!D$8-'5Yr Pro Forma Financials'!D$12-'5Yr Pro Forma Financials'!C$10*$B12*POWER(1+'Control Panel &amp; Inputs'!$C$21,1)</f>
        <v>70324891.3282931</v>
      </c>
      <c r="D30" s="48" t="n">
        <f aca="false">'5Yr Pro Forma Financials'!E$8-'5Yr Pro Forma Financials'!E$12-'5Yr Pro Forma Financials'!C$10*$B12*POWER(1+'Control Panel &amp; Inputs'!$C$21,2)</f>
        <v>71581293.554859</v>
      </c>
      <c r="E30" s="48" t="n">
        <f aca="false">'5Yr Pro Forma Financials'!F$8-'5Yr Pro Forma Financials'!F$12-'5Yr Pro Forma Financials'!C$10*$B12*POWER(1+'Control Panel &amp; Inputs'!$C$21,3)</f>
        <v>72930583.9267062</v>
      </c>
      <c r="F30" s="48" t="n">
        <f aca="false">'5Yr Pro Forma Financials'!G$8-'5Yr Pro Forma Financials'!G$12-'5Yr Pro Forma Financials'!C$10*$B12*POWER(1+'Control Panel &amp; Inputs'!$C$21,4)</f>
        <v>74378964.4453097</v>
      </c>
    </row>
    <row r="31" customFormat="false" ht="15" hidden="false" customHeight="false" outlineLevel="0" collapsed="false">
      <c r="A31" s="51" t="str">
        <f aca="false">A13</f>
        <v>$0.08/kWh @ 50% debt</v>
      </c>
      <c r="B31" s="48" t="n">
        <f aca="false">'5Yr Pro Forma Financials'!C$8-'5Yr Pro Forma Financials'!C$12-'5Yr Pro Forma Financials'!C$10*$B13*POWER(1+'Control Panel &amp; Inputs'!$C$21,0)</f>
        <v>59433067.095808</v>
      </c>
      <c r="C31" s="48" t="n">
        <f aca="false">'5Yr Pro Forma Financials'!D$8-'5Yr Pro Forma Financials'!D$12-'5Yr Pro Forma Financials'!C$10*$B13*POWER(1+'Control Panel &amp; Inputs'!$C$21,1)</f>
        <v>68975958.4377242</v>
      </c>
      <c r="D31" s="48" t="n">
        <f aca="false">'5Yr Pro Forma Financials'!E$8-'5Yr Pro Forma Financials'!E$12-'5Yr Pro Forma Financials'!C$10*$B13*POWER(1+'Control Panel &amp; Inputs'!$C$21,2)</f>
        <v>70205382.0064787</v>
      </c>
      <c r="E31" s="48" t="n">
        <f aca="false">'5Yr Pro Forma Financials'!F$8-'5Yr Pro Forma Financials'!F$12-'5Yr Pro Forma Financials'!C$10*$B13*POWER(1+'Control Panel &amp; Inputs'!$C$21,3)</f>
        <v>71527154.1473582</v>
      </c>
      <c r="F31" s="48" t="n">
        <f aca="false">'5Yr Pro Forma Financials'!G$8-'5Yr Pro Forma Financials'!G$12-'5Yr Pro Forma Financials'!C$10*$B13*POWER(1+'Control Panel &amp; Inputs'!$C$21,4)</f>
        <v>72947466.0703748</v>
      </c>
    </row>
    <row r="32" customFormat="false" ht="15" hidden="false" customHeight="false" outlineLevel="0" collapsed="false">
      <c r="A32" s="51" t="str">
        <f aca="false">A14</f>
        <v>$0.08/kWh @ 60% debt</v>
      </c>
      <c r="B32" s="48" t="n">
        <f aca="false">'5Yr Pro Forma Financials'!C$8-'5Yr Pro Forma Financials'!C$12-'5Yr Pro Forma Financials'!C$10*$B14*POWER(1+'Control Panel &amp; Inputs'!$C$21,0)</f>
        <v>59433067.095808</v>
      </c>
      <c r="C32" s="48" t="n">
        <f aca="false">'5Yr Pro Forma Financials'!D$8-'5Yr Pro Forma Financials'!D$12-'5Yr Pro Forma Financials'!C$10*$B14*POWER(1+'Control Panel &amp; Inputs'!$C$21,1)</f>
        <v>68975958.4377242</v>
      </c>
      <c r="D32" s="48" t="n">
        <f aca="false">'5Yr Pro Forma Financials'!E$8-'5Yr Pro Forma Financials'!E$12-'5Yr Pro Forma Financials'!C$10*$B14*POWER(1+'Control Panel &amp; Inputs'!$C$21,2)</f>
        <v>70205382.0064787</v>
      </c>
      <c r="E32" s="48" t="n">
        <f aca="false">'5Yr Pro Forma Financials'!F$8-'5Yr Pro Forma Financials'!F$12-'5Yr Pro Forma Financials'!C$10*$B14*POWER(1+'Control Panel &amp; Inputs'!$C$21,3)</f>
        <v>71527154.1473582</v>
      </c>
      <c r="F32" s="48" t="n">
        <f aca="false">'5Yr Pro Forma Financials'!G$8-'5Yr Pro Forma Financials'!G$12-'5Yr Pro Forma Financials'!C$10*$B14*POWER(1+'Control Panel &amp; Inputs'!$C$21,4)</f>
        <v>72947466.0703748</v>
      </c>
    </row>
    <row r="33" customFormat="false" ht="15" hidden="false" customHeight="false" outlineLevel="0" collapsed="false">
      <c r="A33" s="51" t="str">
        <f aca="false">A15</f>
        <v>$0.08/kWh @ 70% debt</v>
      </c>
      <c r="B33" s="48" t="n">
        <f aca="false">'5Yr Pro Forma Financials'!C$8-'5Yr Pro Forma Financials'!C$12-'5Yr Pro Forma Financials'!C$10*$B15*POWER(1+'Control Panel &amp; Inputs'!$C$21,0)</f>
        <v>59433067.095808</v>
      </c>
      <c r="C33" s="48" t="n">
        <f aca="false">'5Yr Pro Forma Financials'!D$8-'5Yr Pro Forma Financials'!D$12-'5Yr Pro Forma Financials'!C$10*$B15*POWER(1+'Control Panel &amp; Inputs'!$C$21,1)</f>
        <v>68975958.4377242</v>
      </c>
      <c r="D33" s="48" t="n">
        <f aca="false">'5Yr Pro Forma Financials'!E$8-'5Yr Pro Forma Financials'!E$12-'5Yr Pro Forma Financials'!C$10*$B15*POWER(1+'Control Panel &amp; Inputs'!$C$21,2)</f>
        <v>70205382.0064787</v>
      </c>
      <c r="E33" s="48" t="n">
        <f aca="false">'5Yr Pro Forma Financials'!F$8-'5Yr Pro Forma Financials'!F$12-'5Yr Pro Forma Financials'!C$10*$B15*POWER(1+'Control Panel &amp; Inputs'!$C$21,3)</f>
        <v>71527154.1473582</v>
      </c>
      <c r="F33" s="48" t="n">
        <f aca="false">'5Yr Pro Forma Financials'!G$8-'5Yr Pro Forma Financials'!G$12-'5Yr Pro Forma Financials'!C$10*$B15*POWER(1+'Control Panel &amp; Inputs'!$C$21,4)</f>
        <v>72947466.0703748</v>
      </c>
    </row>
    <row r="34" customFormat="false" ht="15" hidden="false" customHeight="false" outlineLevel="0" collapsed="false">
      <c r="A34" s="51" t="str">
        <f aca="false">A16</f>
        <v>$0.08/kWh @ 80% debt</v>
      </c>
      <c r="B34" s="48" t="n">
        <f aca="false">'5Yr Pro Forma Financials'!C$8-'5Yr Pro Forma Financials'!C$12-'5Yr Pro Forma Financials'!C$10*$B16*POWER(1+'Control Panel &amp; Inputs'!$C$21,0)</f>
        <v>59433067.095808</v>
      </c>
      <c r="C34" s="48" t="n">
        <f aca="false">'5Yr Pro Forma Financials'!D$8-'5Yr Pro Forma Financials'!D$12-'5Yr Pro Forma Financials'!C$10*$B16*POWER(1+'Control Panel &amp; Inputs'!$C$21,1)</f>
        <v>68975958.4377242</v>
      </c>
      <c r="D34" s="48" t="n">
        <f aca="false">'5Yr Pro Forma Financials'!E$8-'5Yr Pro Forma Financials'!E$12-'5Yr Pro Forma Financials'!C$10*$B16*POWER(1+'Control Panel &amp; Inputs'!$C$21,2)</f>
        <v>70205382.0064787</v>
      </c>
      <c r="E34" s="48" t="n">
        <f aca="false">'5Yr Pro Forma Financials'!F$8-'5Yr Pro Forma Financials'!F$12-'5Yr Pro Forma Financials'!C$10*$B16*POWER(1+'Control Panel &amp; Inputs'!$C$21,3)</f>
        <v>71527154.1473582</v>
      </c>
      <c r="F34" s="48" t="n">
        <f aca="false">'5Yr Pro Forma Financials'!G$8-'5Yr Pro Forma Financials'!G$12-'5Yr Pro Forma Financials'!C$10*$B16*POWER(1+'Control Panel &amp; Inputs'!$C$21,4)</f>
        <v>72947466.0703748</v>
      </c>
    </row>
    <row r="35" customFormat="false" ht="15" hidden="false" customHeight="false" outlineLevel="0" collapsed="false">
      <c r="A35" s="51" t="str">
        <f aca="false">A17</f>
        <v>$0.10/kWh @ 50% debt</v>
      </c>
      <c r="B35" s="48" t="n">
        <f aca="false">'5Yr Pro Forma Financials'!C$8-'5Yr Pro Forma Financials'!C$12-'5Yr Pro Forma Financials'!C$10*$B17*POWER(1+'Control Panel &amp; Inputs'!$C$21,0)</f>
        <v>58110583.86976</v>
      </c>
      <c r="C35" s="48" t="n">
        <f aca="false">'5Yr Pro Forma Financials'!D$8-'5Yr Pro Forma Financials'!D$12-'5Yr Pro Forma Financials'!C$10*$B17*POWER(1+'Control Panel &amp; Inputs'!$C$21,1)</f>
        <v>67627025.5471552</v>
      </c>
      <c r="D35" s="48" t="n">
        <f aca="false">'5Yr Pro Forma Financials'!E$8-'5Yr Pro Forma Financials'!E$12-'5Yr Pro Forma Financials'!C$10*$B17*POWER(1+'Control Panel &amp; Inputs'!$C$21,2)</f>
        <v>68829470.4580983</v>
      </c>
      <c r="E35" s="48" t="n">
        <f aca="false">'5Yr Pro Forma Financials'!F$8-'5Yr Pro Forma Financials'!F$12-'5Yr Pro Forma Financials'!C$10*$B17*POWER(1+'Control Panel &amp; Inputs'!$C$21,3)</f>
        <v>70123724.3680103</v>
      </c>
      <c r="F35" s="48" t="n">
        <f aca="false">'5Yr Pro Forma Financials'!G$8-'5Yr Pro Forma Financials'!G$12-'5Yr Pro Forma Financials'!C$10*$B17*POWER(1+'Control Panel &amp; Inputs'!$C$21,4)</f>
        <v>71515967.6954399</v>
      </c>
    </row>
    <row r="36" customFormat="false" ht="15" hidden="false" customHeight="false" outlineLevel="0" collapsed="false">
      <c r="A36" s="51" t="str">
        <f aca="false">A18</f>
        <v>$0.10/kWh @ 60% debt</v>
      </c>
      <c r="B36" s="48" t="n">
        <f aca="false">'5Yr Pro Forma Financials'!C$8-'5Yr Pro Forma Financials'!C$12-'5Yr Pro Forma Financials'!C$10*$B18*POWER(1+'Control Panel &amp; Inputs'!$C$21,0)</f>
        <v>58110583.86976</v>
      </c>
      <c r="C36" s="48" t="n">
        <f aca="false">'5Yr Pro Forma Financials'!D$8-'5Yr Pro Forma Financials'!D$12-'5Yr Pro Forma Financials'!C$10*$B18*POWER(1+'Control Panel &amp; Inputs'!$C$21,1)</f>
        <v>67627025.5471552</v>
      </c>
      <c r="D36" s="48" t="n">
        <f aca="false">'5Yr Pro Forma Financials'!E$8-'5Yr Pro Forma Financials'!E$12-'5Yr Pro Forma Financials'!C$10*$B18*POWER(1+'Control Panel &amp; Inputs'!$C$21,2)</f>
        <v>68829470.4580983</v>
      </c>
      <c r="E36" s="48" t="n">
        <f aca="false">'5Yr Pro Forma Financials'!F$8-'5Yr Pro Forma Financials'!F$12-'5Yr Pro Forma Financials'!C$10*$B18*POWER(1+'Control Panel &amp; Inputs'!$C$21,3)</f>
        <v>70123724.3680103</v>
      </c>
      <c r="F36" s="48" t="n">
        <f aca="false">'5Yr Pro Forma Financials'!G$8-'5Yr Pro Forma Financials'!G$12-'5Yr Pro Forma Financials'!C$10*$B18*POWER(1+'Control Panel &amp; Inputs'!$C$21,4)</f>
        <v>71515967.6954399</v>
      </c>
    </row>
    <row r="37" customFormat="false" ht="15" hidden="false" customHeight="false" outlineLevel="0" collapsed="false">
      <c r="A37" s="51" t="str">
        <f aca="false">A19</f>
        <v>$0.10/kWh @ 70% debt</v>
      </c>
      <c r="B37" s="48" t="n">
        <f aca="false">'5Yr Pro Forma Financials'!C$8-'5Yr Pro Forma Financials'!C$12-'5Yr Pro Forma Financials'!C$10*$B19*POWER(1+'Control Panel &amp; Inputs'!$C$21,0)</f>
        <v>58110583.86976</v>
      </c>
      <c r="C37" s="48" t="n">
        <f aca="false">'5Yr Pro Forma Financials'!D$8-'5Yr Pro Forma Financials'!D$12-'5Yr Pro Forma Financials'!C$10*$B19*POWER(1+'Control Panel &amp; Inputs'!$C$21,1)</f>
        <v>67627025.5471552</v>
      </c>
      <c r="D37" s="48" t="n">
        <f aca="false">'5Yr Pro Forma Financials'!E$8-'5Yr Pro Forma Financials'!E$12-'5Yr Pro Forma Financials'!C$10*$B19*POWER(1+'Control Panel &amp; Inputs'!$C$21,2)</f>
        <v>68829470.4580983</v>
      </c>
      <c r="E37" s="48" t="n">
        <f aca="false">'5Yr Pro Forma Financials'!F$8-'5Yr Pro Forma Financials'!F$12-'5Yr Pro Forma Financials'!C$10*$B19*POWER(1+'Control Panel &amp; Inputs'!$C$21,3)</f>
        <v>70123724.3680103</v>
      </c>
      <c r="F37" s="48" t="n">
        <f aca="false">'5Yr Pro Forma Financials'!G$8-'5Yr Pro Forma Financials'!G$12-'5Yr Pro Forma Financials'!C$10*$B19*POWER(1+'Control Panel &amp; Inputs'!$C$21,4)</f>
        <v>71515967.6954399</v>
      </c>
    </row>
    <row r="38" customFormat="false" ht="15" hidden="false" customHeight="false" outlineLevel="0" collapsed="false">
      <c r="A38" s="51" t="str">
        <f aca="false">A20</f>
        <v>$0.10/kWh @ 80% debt</v>
      </c>
      <c r="B38" s="48" t="n">
        <f aca="false">'5Yr Pro Forma Financials'!C$8-'5Yr Pro Forma Financials'!C$12-'5Yr Pro Forma Financials'!C$10*$B20*POWER(1+'Control Panel &amp; Inputs'!$C$21,0)</f>
        <v>58110583.86976</v>
      </c>
      <c r="C38" s="48" t="n">
        <f aca="false">'5Yr Pro Forma Financials'!D$8-'5Yr Pro Forma Financials'!D$12-'5Yr Pro Forma Financials'!C$10*$B20*POWER(1+'Control Panel &amp; Inputs'!$C$21,1)</f>
        <v>67627025.5471552</v>
      </c>
      <c r="D38" s="48" t="n">
        <f aca="false">'5Yr Pro Forma Financials'!E$8-'5Yr Pro Forma Financials'!E$12-'5Yr Pro Forma Financials'!C$10*$B20*POWER(1+'Control Panel &amp; Inputs'!$C$21,2)</f>
        <v>68829470.4580983</v>
      </c>
      <c r="E38" s="48" t="n">
        <f aca="false">'5Yr Pro Forma Financials'!F$8-'5Yr Pro Forma Financials'!F$12-'5Yr Pro Forma Financials'!C$10*$B20*POWER(1+'Control Panel &amp; Inputs'!$C$21,3)</f>
        <v>70123724.3680103</v>
      </c>
      <c r="F38" s="48" t="n">
        <f aca="false">'5Yr Pro Forma Financials'!G$8-'5Yr Pro Forma Financials'!G$12-'5Yr Pro Forma Financials'!C$10*$B20*POWER(1+'Control Panel &amp; Inputs'!$C$21,4)</f>
        <v>71515967.6954399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8"/>
  </cols>
  <sheetData>
    <row r="1" customFormat="false" ht="19.7" hidden="false" customHeight="false" outlineLevel="0" collapsed="false">
      <c r="A1" s="1" t="s">
        <v>287</v>
      </c>
    </row>
    <row r="2" customFormat="false" ht="15" hidden="false" customHeight="false" outlineLevel="0" collapsed="false">
      <c r="A2" s="2" t="s">
        <v>288</v>
      </c>
    </row>
    <row r="4" customFormat="false" ht="15" hidden="false" customHeight="false" outlineLevel="0" collapsed="false">
      <c r="A4" s="38" t="s">
        <v>289</v>
      </c>
    </row>
    <row r="5" customFormat="false" ht="15" hidden="false" customHeight="false" outlineLevel="0" collapsed="false">
      <c r="A5" s="3" t="s">
        <v>290</v>
      </c>
      <c r="B5" s="3" t="s">
        <v>291</v>
      </c>
      <c r="C5" s="3" t="s">
        <v>292</v>
      </c>
      <c r="D5" s="3" t="s">
        <v>293</v>
      </c>
      <c r="E5" s="3" t="s">
        <v>294</v>
      </c>
    </row>
    <row r="6" customFormat="false" ht="15" hidden="false" customHeight="false" outlineLevel="0" collapsed="false">
      <c r="A6" s="6" t="s">
        <v>295</v>
      </c>
      <c r="B6" s="52" t="n">
        <f aca="false">'Sensitivity Engine'!M5</f>
        <v>0.643978746381705</v>
      </c>
      <c r="C6" s="52" t="n">
        <f aca="false">'Sensitivity Engine'!M6</f>
        <v>0.762382519931947</v>
      </c>
      <c r="D6" s="52" t="n">
        <f aca="false">'Sensitivity Engine'!M7</f>
        <v>0.950597457234898</v>
      </c>
      <c r="E6" s="52" t="n">
        <f aca="false">'Sensitivity Engine'!M8</f>
        <v>1.30679835036219</v>
      </c>
    </row>
    <row r="7" customFormat="false" ht="15" hidden="false" customHeight="false" outlineLevel="0" collapsed="false">
      <c r="A7" s="6" t="s">
        <v>296</v>
      </c>
      <c r="B7" s="52" t="n">
        <f aca="false">'Sensitivity Engine'!M9</f>
        <v>0.625634391500291</v>
      </c>
      <c r="C7" s="52" t="n">
        <f aca="false">'Sensitivity Engine'!M10</f>
        <v>0.740129255041265</v>
      </c>
      <c r="D7" s="52" t="n">
        <f aca="false">'Sensitivity Engine'!M11</f>
        <v>0.921875356077546</v>
      </c>
      <c r="E7" s="52" t="n">
        <f aca="false">'Sensitivity Engine'!M12</f>
        <v>1.26506825092475</v>
      </c>
    </row>
    <row r="8" customFormat="false" ht="15" hidden="false" customHeight="false" outlineLevel="0" collapsed="false">
      <c r="A8" s="6" t="s">
        <v>297</v>
      </c>
      <c r="B8" s="52" t="n">
        <f aca="false">'Sensitivity Engine'!M13</f>
        <v>0.607230227403353</v>
      </c>
      <c r="C8" s="52" t="n">
        <f aca="false">'Sensitivity Engine'!M14</f>
        <v>0.717819474593702</v>
      </c>
      <c r="D8" s="52" t="n">
        <f aca="false">'Sensitivity Engine'!M15</f>
        <v>0.893112538570458</v>
      </c>
      <c r="E8" s="52" t="n">
        <f aca="false">'Sensitivity Engine'!M16</f>
        <v>1.22335056745985</v>
      </c>
    </row>
    <row r="9" customFormat="false" ht="15" hidden="false" customHeight="false" outlineLevel="0" collapsed="false">
      <c r="A9" s="6" t="s">
        <v>298</v>
      </c>
      <c r="B9" s="52" t="n">
        <f aca="false">'Sensitivity Engine'!M17</f>
        <v>0.588762837234268</v>
      </c>
      <c r="C9" s="52" t="n">
        <f aca="false">'Sensitivity Engine'!M18</f>
        <v>0.695449303949312</v>
      </c>
      <c r="D9" s="52" t="n">
        <f aca="false">'Sensitivity Engine'!M19</f>
        <v>0.864305027747797</v>
      </c>
      <c r="E9" s="52" t="n">
        <f aca="false">'Sensitivity Engine'!M20</f>
        <v>1.18164323060214</v>
      </c>
    </row>
    <row r="12" customFormat="false" ht="15" hidden="false" customHeight="false" outlineLevel="0" collapsed="false">
      <c r="A12" s="38" t="s">
        <v>299</v>
      </c>
    </row>
    <row r="13" customFormat="false" ht="15" hidden="false" customHeight="false" outlineLevel="0" collapsed="false">
      <c r="A13" s="3" t="s">
        <v>290</v>
      </c>
      <c r="B13" s="3" t="s">
        <v>291</v>
      </c>
      <c r="C13" s="3" t="s">
        <v>292</v>
      </c>
      <c r="D13" s="3" t="s">
        <v>293</v>
      </c>
      <c r="E13" s="3" t="s">
        <v>294</v>
      </c>
    </row>
    <row r="14" customFormat="false" ht="15" hidden="false" customHeight="false" outlineLevel="0" collapsed="false">
      <c r="A14" s="6" t="s">
        <v>295</v>
      </c>
      <c r="B14" s="53" t="n">
        <f aca="false">'Sensitivity Engine'!N5</f>
        <v>4.25224061963126</v>
      </c>
      <c r="C14" s="53" t="n">
        <f aca="false">'Sensitivity Engine'!N6</f>
        <v>3.54353384969272</v>
      </c>
      <c r="D14" s="53" t="n">
        <f aca="false">'Sensitivity Engine'!N7</f>
        <v>3.03731472830805</v>
      </c>
      <c r="E14" s="53" t="n">
        <f aca="false">'Sensitivity Engine'!N8</f>
        <v>2.65765038726954</v>
      </c>
    </row>
    <row r="15" customFormat="false" ht="15" hidden="false" customHeight="false" outlineLevel="0" collapsed="false">
      <c r="A15" s="6" t="s">
        <v>296</v>
      </c>
      <c r="B15" s="53" t="n">
        <f aca="false">'Sensitivity Engine'!N9</f>
        <v>4.17023216372819</v>
      </c>
      <c r="C15" s="53" t="n">
        <f aca="false">'Sensitivity Engine'!N10</f>
        <v>3.47519346977349</v>
      </c>
      <c r="D15" s="53" t="n">
        <f aca="false">'Sensitivity Engine'!N11</f>
        <v>2.97873725980585</v>
      </c>
      <c r="E15" s="53" t="n">
        <f aca="false">'Sensitivity Engine'!N12</f>
        <v>2.60639510233012</v>
      </c>
    </row>
    <row r="16" customFormat="false" ht="15" hidden="false" customHeight="false" outlineLevel="0" collapsed="false">
      <c r="A16" s="6" t="s">
        <v>297</v>
      </c>
      <c r="B16" s="53" t="n">
        <f aca="false">'Sensitivity Engine'!N13</f>
        <v>4.08822370782512</v>
      </c>
      <c r="C16" s="53" t="n">
        <f aca="false">'Sensitivity Engine'!N14</f>
        <v>3.40685308985427</v>
      </c>
      <c r="D16" s="53" t="n">
        <f aca="false">'Sensitivity Engine'!N15</f>
        <v>2.92015979130366</v>
      </c>
      <c r="E16" s="53" t="n">
        <f aca="false">'Sensitivity Engine'!N16</f>
        <v>2.5551398173907</v>
      </c>
    </row>
    <row r="17" customFormat="false" ht="15" hidden="false" customHeight="false" outlineLevel="0" collapsed="false">
      <c r="A17" s="6" t="s">
        <v>298</v>
      </c>
      <c r="B17" s="53" t="n">
        <f aca="false">'Sensitivity Engine'!N17</f>
        <v>4.00621525192205</v>
      </c>
      <c r="C17" s="53" t="n">
        <f aca="false">'Sensitivity Engine'!N18</f>
        <v>3.33851270993504</v>
      </c>
      <c r="D17" s="53" t="n">
        <f aca="false">'Sensitivity Engine'!N19</f>
        <v>2.86158232280146</v>
      </c>
      <c r="E17" s="53" t="n">
        <f aca="false">'Sensitivity Engine'!N20</f>
        <v>2.50388453245128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2026-07-24T05:24:22Z</dcterms:created>
  <dc:creator>openpyxl</dc:creator>
  <dc:description/>
  <dc:language>en-US</dc:language>
  <cp:lastModifiedBy/>
  <dcterms:modified xsi:type="dcterms:W3CDTF">2026-07-24T05:24:22Z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