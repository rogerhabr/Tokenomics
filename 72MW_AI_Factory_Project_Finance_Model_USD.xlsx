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Narrative" sheetId="1" state="visible" r:id="rId1"/>
    <sheet name="2. Input Dashboard" sheetId="2" state="visible" r:id="rId2"/>
    <sheet name="3. Project Finance Model" sheetId="3" state="visible" r:id="rId3"/>
    <sheet name="4. Sensitivity Analysis" sheetId="4" state="visible" r:id="rId4"/>
    <sheet name="5. Cash Flow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$#,##0.000"/>
    <numFmt numFmtId="167" formatCode="0.0"/>
    <numFmt numFmtId="168" formatCode="$#,##0;[Red]($#,##0)"/>
    <numFmt numFmtId="169" formatCode="0.0&quot;x&quot;"/>
    <numFmt numFmtId="170" formatCode="$#,##0.0&quot;M&quot;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FFFFFF"/>
      <sz val="18"/>
    </font>
    <font>
      <name val="Calibri"/>
      <b val="1"/>
      <color rgb="007B3F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C00000"/>
      <sz val="10"/>
    </font>
    <font>
      <name val="Calibri"/>
      <b val="1"/>
      <color rgb="00000000"/>
      <sz val="10"/>
    </font>
    <font>
      <name val="Calibri"/>
      <b val="1"/>
      <color rgb="001A1A1A"/>
      <sz val="10"/>
    </font>
    <font>
      <name val="Calibri"/>
      <b val="1"/>
      <color rgb="00C00000"/>
      <sz val="10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1A1A1A"/>
      <sz val="9"/>
    </font>
    <font>
      <name val="Calibri"/>
      <b val="1"/>
      <color rgb="001F4E78"/>
      <sz val="9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FFFFFF"/>
      <sz val="14"/>
    </font>
    <font>
      <name val="Calibri"/>
      <b val="1"/>
      <color rgb="00375623"/>
      <sz val="11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0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5E8D4"/>
      </patternFill>
    </fill>
    <fill>
      <patternFill patternType="solid">
        <fgColor rgb="00E8F5E9"/>
      </patternFill>
    </fill>
    <fill>
      <patternFill patternType="solid">
        <fgColor rgb="00EBF3FB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0000"/>
      </patternFill>
    </fill>
    <fill>
      <patternFill patternType="solid">
        <fgColor rgb="00E8F4FD"/>
      </patternFill>
    </fill>
  </fills>
  <borders count="22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  <border>
      <left style="thin">
        <color rgb="00D0E4F7"/>
      </left>
      <right style="thin">
        <color rgb="00D0E4F7"/>
      </right>
      <top style="thin">
        <color rgb="00D0E4F7"/>
      </top>
      <bottom style="thin">
        <color rgb="00D0E4F7"/>
      </bottom>
    </border>
    <border>
      <left/>
      <right/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 style="thin">
        <color rgb="00D0E4F7"/>
      </bottom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 style="thin">
        <color rgb="00BFBFBF"/>
      </left>
      <right style="thin">
        <color rgb="00BFBFBF"/>
      </right>
      <top style="double">
        <color rgb="001F4E78"/>
      </top>
      <bottom style="double">
        <color rgb="001F4E78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4" borderId="5" applyAlignment="1" pivotButton="0" quotePrefix="0" xfId="0">
      <alignment horizontal="left" vertical="top" wrapText="1"/>
    </xf>
    <xf numFmtId="0" fontId="0" fillId="0" borderId="8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0" borderId="9" pivotButton="0" quotePrefix="0" xfId="0"/>
    <xf numFmtId="0" fontId="8" fillId="6" borderId="10" applyAlignment="1" pivotButton="0" quotePrefix="0" xfId="0">
      <alignment horizontal="left" vertical="center"/>
    </xf>
    <xf numFmtId="49" fontId="9" fillId="5" borderId="11" applyAlignment="1" pivotButton="0" quotePrefix="0" xfId="0">
      <alignment horizontal="right" vertical="center"/>
    </xf>
    <xf numFmtId="0" fontId="10" fillId="7" borderId="10" applyAlignment="1" pivotButton="0" quotePrefix="0" xfId="0">
      <alignment horizontal="left" vertical="center" wrapText="1"/>
    </xf>
    <xf numFmtId="3" fontId="9" fillId="5" borderId="11" applyAlignment="1" pivotButton="0" quotePrefix="0" xfId="0">
      <alignment horizontal="right" vertical="center"/>
    </xf>
    <xf numFmtId="2" fontId="9" fillId="5" borderId="11" applyAlignment="1" pivotButton="0" quotePrefix="0" xfId="0">
      <alignment horizontal="right" vertical="center"/>
    </xf>
    <xf numFmtId="164" fontId="9" fillId="5" borderId="11" applyAlignment="1" pivotButton="0" quotePrefix="0" xfId="0">
      <alignment horizontal="right" vertical="center"/>
    </xf>
    <xf numFmtId="165" fontId="9" fillId="5" borderId="11" applyAlignment="1" pivotButton="0" quotePrefix="0" xfId="0">
      <alignment horizontal="right" vertical="center"/>
    </xf>
    <xf numFmtId="166" fontId="9" fillId="5" borderId="11" applyAlignment="1" pivotButton="0" quotePrefix="0" xfId="0">
      <alignment horizontal="right" vertical="center"/>
    </xf>
    <xf numFmtId="167" fontId="9" fillId="5" borderId="11" applyAlignment="1" pivotButton="0" quotePrefix="0" xfId="0">
      <alignment horizontal="right" vertical="center"/>
    </xf>
    <xf numFmtId="168" fontId="9" fillId="5" borderId="11" applyAlignment="1" pivotButton="0" quotePrefix="0" xfId="0">
      <alignment horizontal="right" vertical="center"/>
    </xf>
    <xf numFmtId="169" fontId="9" fillId="5" borderId="1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3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2" fillId="3" borderId="10" applyAlignment="1" pivotButton="0" quotePrefix="0" xfId="0">
      <alignment horizontal="left" vertical="center"/>
    </xf>
    <xf numFmtId="0" fontId="12" fillId="3" borderId="10" applyAlignment="1" pivotButton="0" quotePrefix="0" xfId="0">
      <alignment horizontal="center" vertical="center"/>
    </xf>
    <xf numFmtId="0" fontId="8" fillId="8" borderId="10" applyAlignment="1" pivotButton="0" quotePrefix="0" xfId="0">
      <alignment horizontal="left" vertical="center"/>
    </xf>
    <xf numFmtId="168" fontId="4" fillId="8" borderId="10" applyAlignment="1" pivotButton="0" quotePrefix="0" xfId="0">
      <alignment horizontal="right" vertical="center"/>
    </xf>
    <xf numFmtId="0" fontId="10" fillId="4" borderId="5" applyAlignment="1" pivotButton="0" quotePrefix="0" xfId="0">
      <alignment horizontal="left" vertical="center" wrapText="1"/>
    </xf>
    <xf numFmtId="0" fontId="8" fillId="9" borderId="10" applyAlignment="1" pivotButton="0" quotePrefix="0" xfId="0">
      <alignment horizontal="left" vertical="center"/>
    </xf>
    <xf numFmtId="168" fontId="13" fillId="9" borderId="10" applyAlignment="1" pivotButton="0" quotePrefix="0" xfId="0">
      <alignment horizontal="right" vertical="center"/>
    </xf>
    <xf numFmtId="0" fontId="8" fillId="10" borderId="10" applyAlignment="1" pivotButton="0" quotePrefix="0" xfId="0">
      <alignment horizontal="left" vertical="center"/>
    </xf>
    <xf numFmtId="168" fontId="13" fillId="10" borderId="10" applyAlignment="1" pivotButton="0" quotePrefix="0" xfId="0">
      <alignment horizontal="right" vertical="center"/>
    </xf>
    <xf numFmtId="0" fontId="14" fillId="11" borderId="17" applyAlignment="1" pivotButton="0" quotePrefix="0" xfId="0">
      <alignment horizontal="left" vertical="center"/>
    </xf>
    <xf numFmtId="168" fontId="15" fillId="11" borderId="17" applyAlignment="1" pivotButton="0" quotePrefix="0" xfId="0">
      <alignment horizontal="right" vertical="center"/>
    </xf>
    <xf numFmtId="168" fontId="13" fillId="6" borderId="10" applyAlignment="1" pivotButton="0" quotePrefix="0" xfId="0">
      <alignment horizontal="right" vertical="center"/>
    </xf>
    <xf numFmtId="0" fontId="14" fillId="12" borderId="17" applyAlignment="1" pivotButton="0" quotePrefix="0" xfId="0">
      <alignment horizontal="left" vertical="center"/>
    </xf>
    <xf numFmtId="168" fontId="15" fillId="12" borderId="17" applyAlignment="1" pivotButton="0" quotePrefix="0" xfId="0">
      <alignment horizontal="right" vertical="center"/>
    </xf>
    <xf numFmtId="168" fontId="4" fillId="6" borderId="10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168" fontId="16" fillId="13" borderId="17" applyAlignment="1" pivotButton="0" quotePrefix="0" xfId="0">
      <alignment horizontal="right" vertical="center"/>
    </xf>
    <xf numFmtId="168" fontId="15" fillId="13" borderId="17" applyAlignment="1" pivotButton="0" quotePrefix="0" xfId="0">
      <alignment horizontal="right" vertical="center"/>
    </xf>
    <xf numFmtId="168" fontId="13" fillId="8" borderId="10" applyAlignment="1" pivotButton="0" quotePrefix="0" xfId="0">
      <alignment horizontal="right" vertical="center"/>
    </xf>
    <xf numFmtId="0" fontId="8" fillId="11" borderId="10" applyAlignment="1" pivotButton="0" quotePrefix="0" xfId="0">
      <alignment horizontal="left" vertical="center"/>
    </xf>
    <xf numFmtId="168" fontId="4" fillId="11" borderId="10" applyAlignment="1" pivotButton="0" quotePrefix="0" xfId="0">
      <alignment horizontal="right" vertical="center"/>
    </xf>
    <xf numFmtId="168" fontId="4" fillId="9" borderId="10" applyAlignment="1" pivotButton="0" quotePrefix="0" xfId="0">
      <alignment horizontal="right" vertical="center"/>
    </xf>
    <xf numFmtId="0" fontId="14" fillId="14" borderId="17" applyAlignment="1" pivotButton="0" quotePrefix="0" xfId="0">
      <alignment horizontal="left" vertical="center"/>
    </xf>
    <xf numFmtId="168" fontId="16" fillId="14" borderId="17" applyAlignment="1" pivotButton="0" quotePrefix="0" xfId="0">
      <alignment horizontal="right" vertical="center"/>
    </xf>
    <xf numFmtId="168" fontId="15" fillId="14" borderId="17" applyAlignment="1" pivotButton="0" quotePrefix="0" xfId="0">
      <alignment horizontal="right" vertical="center"/>
    </xf>
    <xf numFmtId="0" fontId="14" fillId="6" borderId="10" applyAlignment="1" pivotButton="0" quotePrefix="0" xfId="0">
      <alignment horizontal="left" vertical="center"/>
    </xf>
    <xf numFmtId="168" fontId="15" fillId="6" borderId="10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168" fontId="4" fillId="5" borderId="10" applyAlignment="1" pivotButton="0" quotePrefix="0" xfId="0">
      <alignment horizontal="right" vertical="center"/>
    </xf>
    <xf numFmtId="0" fontId="8" fillId="12" borderId="10" applyAlignment="1" pivotButton="0" quotePrefix="0" xfId="0">
      <alignment horizontal="left" vertical="center"/>
    </xf>
    <xf numFmtId="168" fontId="4" fillId="12" borderId="10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4" fillId="0" borderId="0" pivotButton="0" quotePrefix="0" xfId="0"/>
    <xf numFmtId="0" fontId="12" fillId="16" borderId="10" applyAlignment="1" pivotButton="0" quotePrefix="0" xfId="0">
      <alignment horizontal="center" vertical="center"/>
    </xf>
    <xf numFmtId="0" fontId="19" fillId="17" borderId="10" applyAlignment="1" pivotButton="0" quotePrefix="0" xfId="0">
      <alignment horizontal="center" vertical="center"/>
    </xf>
    <xf numFmtId="0" fontId="19" fillId="18" borderId="10" applyAlignment="1" pivotButton="0" quotePrefix="0" xfId="0">
      <alignment horizontal="center" vertical="center"/>
    </xf>
    <xf numFmtId="0" fontId="19" fillId="19" borderId="10" applyAlignment="1" pivotButton="0" quotePrefix="0" xfId="0">
      <alignment horizontal="center" vertical="center"/>
    </xf>
    <xf numFmtId="0" fontId="12" fillId="20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165" fontId="12" fillId="16" borderId="10" applyAlignment="1" pivotButton="0" quotePrefix="0" xfId="0">
      <alignment horizontal="center" vertical="center"/>
    </xf>
    <xf numFmtId="165" fontId="12" fillId="16" borderId="1" applyAlignment="1" pivotButton="0" quotePrefix="0" xfId="0">
      <alignment horizontal="center" vertical="center"/>
    </xf>
    <xf numFmtId="170" fontId="21" fillId="17" borderId="10" applyAlignment="1" pivotButton="0" quotePrefix="0" xfId="0">
      <alignment horizontal="center" vertical="center"/>
    </xf>
    <xf numFmtId="170" fontId="12" fillId="16" borderId="10" applyAlignment="1" pivotButton="0" quotePrefix="0" xfId="0">
      <alignment horizontal="center" vertical="center"/>
    </xf>
    <xf numFmtId="170" fontId="12" fillId="16" borderId="1" applyAlignment="1" pivotButton="0" quotePrefix="0" xfId="0">
      <alignment horizontal="center" vertical="center"/>
    </xf>
    <xf numFmtId="0" fontId="9" fillId="12" borderId="10" applyAlignment="1" pivotButton="0" quotePrefix="0" xfId="0">
      <alignment horizontal="left" vertical="center"/>
    </xf>
    <xf numFmtId="0" fontId="22" fillId="4" borderId="10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23" fillId="2" borderId="0" applyAlignment="1" pivotButton="0" quotePrefix="0" xfId="0">
      <alignment horizontal="center" vertical="center"/>
    </xf>
    <xf numFmtId="0" fontId="8" fillId="21" borderId="10" applyAlignment="1" pivotButton="0" quotePrefix="0" xfId="0">
      <alignment horizontal="left" vertical="center"/>
    </xf>
    <xf numFmtId="168" fontId="4" fillId="21" borderId="1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 ht="46" customHeight="1">
      <c r="A1" s="1" t="inlineStr">
        <is>
          <t>72MW AI FACTORY  –  PROJECT FINANCE MODEL  (USD)</t>
        </is>
      </c>
    </row>
    <row r="2" ht="22" customHeight="1">
      <c r="A2" s="2" t="inlineStr">
        <is>
          <t>Isolated SPV / Project Co  ·  'Project Developer Co'  ×  'Technology Provider'  ·  All figures in USD  ·  June 2026</t>
        </is>
      </c>
    </row>
    <row r="4" ht="20" customHeight="1">
      <c r="A4" s="3" t="inlineStr">
        <is>
          <t>PURPOSE &amp; SCOPE</t>
        </is>
      </c>
      <c r="B4" s="4" t="n"/>
    </row>
    <row r="5" ht="100" customHeight="1">
      <c r="A5" s="5" t="inlineStr">
        <is>
          <t>This workbook constructs a standalone Project Finance / SPV model for a 72MW high-performance AI computing infrastructure deployment in the Asia-Pacific region.  All items are isolated from parent-company corporate overhead, legacy assets, and consolidated SG&amp;A.
'Project Developer Co' — the sovereign AI data-centre operator building and operating the 72MW APAC footprint.
'Technology Provider'  — the leading silicon vendor supplying 40,000 next-gen GPU clusters under a 6-year credit-support and revenue-sharing agreement.
CURRENCY NOTE: All figures are denominated in USD.  GPU billing revenue is quoted directly in USD as GPU cloud pricing is USD-denominated in the global wholesale market.  All cost-side inputs (power, maintenance, CapEx, debt facility) are expressed in USD.</t>
        </is>
      </c>
      <c r="B5" s="6" t="n"/>
    </row>
    <row r="7" ht="20" customHeight="1">
      <c r="A7" s="3" t="inlineStr">
        <is>
          <t>DEAL STRUCTURE</t>
        </is>
      </c>
      <c r="B7" s="4" t="n"/>
    </row>
    <row r="8" ht="100" customHeight="1">
      <c r="A8" s="5" t="inlineStr">
        <is>
          <t>Capacity:         72MW incremental — part of a 132MW total portfolio target by mid-2027.
Hardware:         40,000 next-gen AI server clusters.  Density: 1.8 kW/GPU (includes networking + cooling).
Duration:         6-year strategic collaboration.
Financing:        Capital-light — Technology Provider funds hardware on credit in exchange for 25% of gross cloud billing revenue, eliminating the traditional ~$260M+ upfront GPU CapEx (in USD terms).
Pre-Contracted:   77% of portfolio (~55.44MW) secured under multi-year take-or-pay enterprise agreements.
Project Debt:     $43M USD senior facility ($20M Y1 + $7M Y2 + $16M Y4 re-draw) at 6.5% p.a.; funds fit-out, commissioning, and mid-cycle GPU refresh.</t>
        </is>
      </c>
      <c r="B8" s="6" t="n"/>
    </row>
    <row r="10" ht="20" customHeight="1">
      <c r="A10" s="3" t="inlineStr">
        <is>
          <t>CURRENCY NOTE</t>
        </is>
      </c>
      <c r="B10" s="4" t="n"/>
    </row>
    <row r="11" ht="190" customHeight="1">
      <c r="A11" s="5" t="inlineStr">
        <is>
          <t>All figures in this model are denominated in USD.
REVENUE (USD-denominated at source):
  GPU billing rate: $0.80 USD/GPU-hour — wholesale bulk enterprise rate quoted in USD.  The $2.15/kWh figure in the deal narrative is an effective yield metric, NOT the billing mechanism.
COSTS (all USD):
  Wholesale power: $0.065 USD/kWh
  Year 1 maintenance: $2.5M USD
  Year 2+ maintenance: $5.5M USD p.a.
  Year 1 CapEx: $62M USD — data-centre shell, liquid-cooling, substations
  Mid-cycle refresh CapEx (Year 4): $30M USD
  Project debt facility: $43M USD total draws</t>
        </is>
      </c>
      <c r="B11" s="6" t="n"/>
    </row>
    <row r="13" ht="20" customHeight="1">
      <c r="A13" s="3" t="inlineStr">
        <is>
          <t>REVENUE BILLING MECHANISM</t>
        </is>
      </c>
      <c r="B13" s="4" t="n"/>
    </row>
    <row r="14" ht="235" customHeight="1">
      <c r="A14" s="5" t="inlineStr">
        <is>
          <t>BILLING BASIS: Per GPU-compute-hour (NOT per raw kWh of power capacity).
Formula: Revenue = GPU_Count × USD_Price_Per_Hour × Hours × Utilisation
Rate:     $0.80 USD/GPU-hour  (wholesale bulk enterprise discount from spot market of $2–4/GPU-hr)
  Year 1 @ 30% utilisation:  40,000 × $0.80 × 8,760 × 0.30 = USD $84.1M
  Year 2 @ 77% utilisation:  40,000 × $0.80 × 8,760 × 0.77 = USD $215.9M
  Year 4-6 @ 80%:            40,000 × $0.80 × 8,760 × 0.80 = USD $224.3M
TRANCHE 1 — CONTRACTED (~55.44MW / 77%):
  Take-or-pay off-take agreements.  Billed at 97.5–100% occupancy.
  Provides the legally protected cash-flow floor guaranteeing debt service.
TRANCHE 2 — MERCHANT (~16.56MW / 23%):
  Spot and short-tenor enterprise contracts.  Ramps 30% → 80% over 4 years.</t>
        </is>
      </c>
      <c r="B14" s="6" t="n"/>
    </row>
    <row r="16" ht="20" customHeight="1">
      <c r="A16" s="3" t="inlineStr">
        <is>
          <t>TECHNOLOGY PROVIDER REVENUE-SHARE</t>
        </is>
      </c>
      <c r="B16" s="4" t="n"/>
    </row>
    <row r="17" ht="85" customHeight="1">
      <c r="A17" s="5" t="inlineStr">
        <is>
          <t>The 25% revenue-share replaces the traditional 100% upfront GPU CapEx.  Two structural effects:
  1. Hardware financing: Year 1 cash CapEx drops from ~$260M USD (buying 40,000 GPUs outright) to $62M USD (fit-out only).  This is the fundamental driver of the exceptional project IRR.
  2. Variable cost cushion: If Tranche 2 utilisation falls, the absolute dollar leak to the Technology Provider drops proportionately, partially absorbing downside into the vendor's P&amp;L rather than the project.</t>
        </is>
      </c>
      <c r="B17" s="6" t="n"/>
    </row>
    <row r="19" ht="20" customHeight="1">
      <c r="A19" s="3" t="inlineStr">
        <is>
          <t>CAPEX &amp; DEPRECIATION  (USD)</t>
        </is>
      </c>
      <c r="B19" s="4" t="n"/>
    </row>
    <row r="20" ht="160" customHeight="1">
      <c r="A20" s="5" t="inlineStr">
        <is>
          <t>Year 1: $62M  — data-centre shell fit-out, liquid-cooling manifolds, power substations, commissioning.
Year 2–3: $10M p.a. — routine operational CapEx.
Year 4: $30M  — mid-cycle silicon refresh ($16M funded by debt re-draw).
Year 5–6: $10M p.a. — tail-end maintenance prior to exit.
D&amp;A Structure (USD):
  Fit-out $62M / 5yr = $12.4M/yr (Years 1–5)
  Hardware tranche 1 / 4yr = $5.7M/yr (Years 1–4)
  Hardware tranche 2 from Year 2 / 4yr = $14.4M/yr (Years 2–5)
  Combined: $18.1M/yr (Yr1), $32.5M/yr (Yr2-4), $18.1M (Yr5), $13.0M (Yr6)</t>
        </is>
      </c>
      <c r="B20" s="6" t="n"/>
    </row>
    <row r="22" ht="20" customHeight="1">
      <c r="A22" s="3" t="inlineStr">
        <is>
          <t>TERMINAL VALUE OPTIONS  (USD)</t>
        </is>
      </c>
      <c r="B22" s="4" t="n"/>
    </row>
    <row r="23" ht="175" customHeight="1">
      <c r="A23" s="5" t="inlineStr">
        <is>
          <t>OPTION A — EXIT MULTIPLE (EV/EBITDA):  TV = EBITDA_Yr6 × Multiple
  Downside: 10.0× = USD $1393M
  Base:     13.5× = USD $1880M
  Upside:   16.0× = USD $2228M
OPTION B — GORDON GROWTH PERPETUITY:
  TV = FCFF_Yr6 × (1+0.5%) / (12.5%–0.5%) = USD $765M
  Conservative: g=0.5% (inflation-only) reflects fixed 72MW physical ceiling.
NOTE ON HIGH IRR VALUES:
  Unlevered IRR is high due to the capital-light structure: Technology Provider credit support eliminates ~$260M USD of GPU CapEx, leaving only $62M Year 1 cash outflow.  The project generates USD $100M+ EBITDA from Year 2.  This ratio of earnings to initial investment naturally produces high IRR — it is the commercial rationale for the deal structure.</t>
        </is>
      </c>
      <c r="B23" s="6" t="n"/>
    </row>
    <row r="25" ht="20" customHeight="1">
      <c r="A25" s="3" t="inlineStr">
        <is>
          <t>IRR FRAMEWORK  (USD)</t>
        </is>
      </c>
      <c r="B25" s="4" t="n"/>
    </row>
    <row r="26" ht="190" customHeight="1">
      <c r="A26" s="5" t="inlineStr">
        <is>
          <t>NON-LEVERAGED IRR (Unlevered):  = IRR(FCFF stream + TV at Year 6)
  FCFF = NOPAT + D&amp;A – ΔNWC – CapEx
  Year 1 FCFF: USD $-22.3M  |  Year 2 FCFF: USD $90.2M
  Measures: intrinsic return of the 72MW factory independent of financing.
LEVERAGED EQUITY IRR (Levered):  = IRR(FCFE stream + TV at Year 6)
  FCFE = FCFF + Net Borrowing – Post-Tax Interest
  Year 1 FCFE: USD $-3.2M  (equity covers FCFF gap minus $32M debt draw)
  $32M debt facility covers ~83% of Year 1 cash needs.
PROJECT NPV at WACC 12.5%:  USD $1188M
  Confirms project creates substantial value above the required return threshold.</t>
        </is>
      </c>
      <c r="B26" s="6" t="n"/>
    </row>
    <row r="28" ht="20" customHeight="1">
      <c r="A28" s="3" t="inlineStr">
        <is>
          <t>KEY CAVEATS</t>
        </is>
      </c>
      <c r="B28" s="4" t="n"/>
    </row>
    <row r="29" ht="85" customHeight="1">
      <c r="A29" s="5" t="inlineStr">
        <is>
          <t>1. POWER ESCALATION:  $0.065/kWh USD base rate (2026).  Add CPI escalation toggle for multi-year sensitivity.
2. GPU REFRESH:  Year 4 $30M USD assumes partial mid-cycle upgrade.  Earlier successor architecture    launches would front-load this into Year 3.
3. REV-SHARE:  25% is a modelled estimate.  Bracket at 20/25/30% in sensitivity.
4. TAX:  30% corporate rate applied at SPV level.  Transfer pricing on the USD-denominated    revenue-share may trigger scrutiny — engage local counsel.
5. WACC:  12.5% reflects single-asset concentration premium.  May compress if sovereign guarantees obtained.</t>
        </is>
      </c>
      <c r="B29" s="6" t="n"/>
    </row>
  </sheetData>
  <mergeCells count="20">
    <mergeCell ref="A11:B11"/>
    <mergeCell ref="A1:B1"/>
    <mergeCell ref="A16:B16"/>
    <mergeCell ref="A7:B7"/>
    <mergeCell ref="A25:B25"/>
    <mergeCell ref="A26:B26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4" customWidth="1" min="4" max="4"/>
    <col width="54" customWidth="1" min="5" max="5"/>
  </cols>
  <sheetData>
    <row r="1" ht="42" customHeight="1">
      <c r="A1" s="7" t="inlineStr">
        <is>
          <t>PROJECT INPUT DASHBOARD  –  72MW AI Factory SPV  (USD)</t>
        </is>
      </c>
    </row>
    <row r="2" ht="20" customHeight="1">
      <c r="A2" s="8" t="inlineStr">
        <is>
          <t>⚠  Yellow cells are live model inputs  —  Sheets 3–5 reference these values</t>
        </is>
      </c>
    </row>
    <row r="4" ht="22" customHeight="1">
      <c r="A4" s="9" t="inlineStr">
        <is>
          <t>BLOCK 0  ·  Currency</t>
        </is>
      </c>
      <c r="B4" s="10" t="n"/>
      <c r="C4" s="10" t="n"/>
      <c r="D4" s="10" t="n"/>
      <c r="E4" s="4" t="n"/>
    </row>
    <row r="5" ht="20" customHeight="1">
      <c r="B5" s="11" t="inlineStr">
        <is>
          <t>Currency</t>
        </is>
      </c>
      <c r="C5" s="12" t="inlineStr">
        <is>
          <t>USD</t>
        </is>
      </c>
      <c r="E5" s="13" t="inlineStr">
        <is>
          <t>All monetary values in this model are denominated in US Dollars.</t>
        </is>
      </c>
    </row>
    <row r="7" ht="22" customHeight="1">
      <c r="A7" s="9" t="inlineStr">
        <is>
          <t>BLOCK 1  ·  Infrastructure &amp; Capacity</t>
        </is>
      </c>
      <c r="B7" s="10" t="n"/>
      <c r="C7" s="10" t="n"/>
      <c r="D7" s="10" t="n"/>
      <c r="E7" s="4" t="n"/>
    </row>
    <row r="8" ht="20" customHeight="1">
      <c r="B8" s="11" t="inlineStr">
        <is>
          <t>Project MW Capacity</t>
        </is>
      </c>
      <c r="C8" s="14" t="n">
        <v>72</v>
      </c>
      <c r="E8" s="13" t="inlineStr">
        <is>
          <t>Physical design ceiling of the data-centre envelope — fixed for 6-year term.</t>
        </is>
      </c>
    </row>
    <row r="9" ht="20" customHeight="1">
      <c r="B9" s="11" t="inlineStr">
        <is>
          <t>Hardware Clusters (GPU units)</t>
        </is>
      </c>
      <c r="C9" s="14" t="n">
        <v>40000</v>
      </c>
      <c r="E9" s="13" t="inlineStr">
        <is>
          <t>Next-gen AI server clusters deployed under Technology Provider agreement.</t>
        </is>
      </c>
    </row>
    <row r="10" ht="20" customHeight="1">
      <c r="B10" s="11" t="inlineStr">
        <is>
          <t>Power Density per Cluster (kW/GPU)</t>
        </is>
      </c>
      <c r="C10" s="15" t="n">
        <v>1.8</v>
      </c>
      <c r="E10" s="13" t="inlineStr">
        <is>
          <t>Design check: 72,000 kW ÷ 40,000 = 1.8 kW incl. networking + liquid-cooling overhead.</t>
        </is>
      </c>
    </row>
    <row r="11" ht="20" customHeight="1">
      <c r="B11" s="11" t="inlineStr">
        <is>
          <t>Contract Duration (Years)</t>
        </is>
      </c>
      <c r="C11" s="14" t="n">
        <v>6</v>
      </c>
      <c r="E11" s="13" t="inlineStr">
        <is>
          <t>Strategic collaboration term — aligns hardware refresh cycles with exit horizon.</t>
        </is>
      </c>
    </row>
    <row r="13" ht="22" customHeight="1">
      <c r="A13" s="9" t="inlineStr">
        <is>
          <t>BLOCK 2  ·  Revenue &amp; Billing Parameters  (USD)</t>
        </is>
      </c>
      <c r="B13" s="10" t="n"/>
      <c r="C13" s="10" t="n"/>
      <c r="D13" s="10" t="n"/>
      <c r="E13" s="4" t="n"/>
    </row>
    <row r="14" ht="20" customHeight="1">
      <c r="B14" s="11" t="inlineStr">
        <is>
          <t>GPU Billing Rate (USD / GPU-hour)</t>
        </is>
      </c>
      <c r="C14" s="16" t="n">
        <v>0.8</v>
      </c>
      <c r="E14" s="13" t="inlineStr">
        <is>
          <t>Wholesale bulk enterprise rate in USD.  Significant discount to AWS/Azure spot ($2–4/GPU-hr).  NOTE: $2.15/kWh cited in deal narrative = effective yield metric, NOT the billing formula.</t>
        </is>
      </c>
    </row>
    <row r="15" ht="20" customHeight="1">
      <c r="B15" s="11" t="inlineStr">
        <is>
          <t>Year 1 Blended Utilisation (%)</t>
        </is>
      </c>
      <c r="C15" s="17" t="n">
        <v>0.3</v>
      </c>
      <c r="E15" s="13" t="inlineStr">
        <is>
          <t>Ramp year — contracted tranche partial, uncontracted minimal.</t>
        </is>
      </c>
    </row>
    <row r="16" ht="20" customHeight="1">
      <c r="B16" s="11" t="inlineStr">
        <is>
          <t>Year 2–3 Blended Utilisation (%)</t>
        </is>
      </c>
      <c r="C16" s="17" t="n">
        <v>0.77</v>
      </c>
      <c r="E16" s="13" t="inlineStr">
        <is>
          <t>Contracted floor activates.  Take-or-pay agreements enforce billing on ~55.44MW.</t>
        </is>
      </c>
    </row>
    <row r="17" ht="20" customHeight="1">
      <c r="B17" s="11" t="inlineStr">
        <is>
          <t>Year 4–6 Blended Utilisation (%)</t>
        </is>
      </c>
      <c r="C17" s="17" t="n">
        <v>0.8</v>
      </c>
      <c r="E17" s="13" t="inlineStr">
        <is>
          <t>Steady-state: contracted floor + maturing merchant pipeline adds ~3% uplift.</t>
        </is>
      </c>
    </row>
    <row r="19" ht="22" customHeight="1">
      <c r="A19" s="9" t="inlineStr">
        <is>
          <t>BLOCK 3  ·  Cost Parameters  (USD)</t>
        </is>
      </c>
      <c r="B19" s="10" t="n"/>
      <c r="C19" s="10" t="n"/>
      <c r="D19" s="10" t="n"/>
      <c r="E19" s="4" t="n"/>
    </row>
    <row r="20" ht="20" customHeight="1">
      <c r="B20" s="11" t="inlineStr">
        <is>
          <t>Technology Provider Revenue Share (%)</t>
        </is>
      </c>
      <c r="C20" s="17" t="n">
        <v>0.25</v>
      </c>
      <c r="E20" s="13" t="inlineStr">
        <is>
          <t>% of Gross Revenue to chip vendor in lieu of ~$260M USD upfront GPU CapEx.  Bracket at 20–30%.</t>
        </is>
      </c>
    </row>
    <row r="21" ht="20" customHeight="1">
      <c r="B21" s="11" t="inlineStr">
        <is>
          <t>Wholesale Power Rate (USD / kWh)</t>
        </is>
      </c>
      <c r="C21" s="18" t="n">
        <v>0.065</v>
      </c>
      <c r="E21" s="13" t="inlineStr">
        <is>
          <t>$0.065 USD/kWh.  Applied to IT load = GPU × 1.8kW × utilisation / PUE(1.4).</t>
        </is>
      </c>
    </row>
    <row r="22" ht="20" customHeight="1">
      <c r="B22" s="11" t="inlineStr">
        <is>
          <t>PUE — Power Usage Effectiveness</t>
        </is>
      </c>
      <c r="C22" s="19" t="n">
        <v>1.4</v>
      </c>
      <c r="E22" s="13" t="inlineStr">
        <is>
          <t>1.4 standard for liquid-cooled hyperscale.  Total facility power ÷ PUE = IT load.</t>
        </is>
      </c>
    </row>
    <row r="23" ht="20" customHeight="1">
      <c r="B23" s="11" t="inlineStr">
        <is>
          <t>Year 1 Facility Maintenance (USD)</t>
        </is>
      </c>
      <c r="C23" s="20" t="n">
        <v>2500000</v>
      </c>
      <c r="E23" s="13" t="inlineStr">
        <is>
          <t>$2.5M USD.  Commissioning phase; ramps to $5.5M from Year 2.</t>
        </is>
      </c>
    </row>
    <row r="24" ht="20" customHeight="1">
      <c r="B24" s="11" t="inlineStr">
        <is>
          <t>Year 2+ Facility Maintenance (USD)</t>
        </is>
      </c>
      <c r="C24" s="20" t="n">
        <v>5500000</v>
      </c>
      <c r="E24" s="13" t="inlineStr">
        <is>
          <t>$5.5M USD p.a.  Full operations — engineers, cooling upkeep, monitoring, security.</t>
        </is>
      </c>
    </row>
    <row r="26" ht="22" customHeight="1">
      <c r="A26" s="9" t="inlineStr">
        <is>
          <t>BLOCK 4  ·  Capital Structure  (USD)</t>
        </is>
      </c>
      <c r="B26" s="10" t="n"/>
      <c r="C26" s="10" t="n"/>
      <c r="D26" s="10" t="n"/>
      <c r="E26" s="4" t="n"/>
    </row>
    <row r="27" ht="20" customHeight="1">
      <c r="B27" s="11" t="inlineStr">
        <is>
          <t>Year 1 Project Debt Draw (USD)</t>
        </is>
      </c>
      <c r="C27" s="20" t="n">
        <v>20000000</v>
      </c>
      <c r="E27" s="13" t="inlineStr">
        <is>
          <t>$20M — set below Year 1 FCFF shortfall ($22.3M) so equity sponsor must fund the gap.  Gives a finite, meaningful Levered IRR.  Equity outlay Year 1 ≈ –$3.6M USD.</t>
        </is>
      </c>
    </row>
    <row r="28" ht="20" customHeight="1">
      <c r="B28" s="11" t="inlineStr">
        <is>
          <t>Year 2 Additional Draw (USD)</t>
        </is>
      </c>
      <c r="C28" s="20" t="n">
        <v>7000000</v>
      </c>
      <c r="E28" s="13" t="inlineStr">
        <is>
          <t>$7M — Phase 2 hardware commissioning draw.</t>
        </is>
      </c>
    </row>
    <row r="29" ht="20" customHeight="1">
      <c r="B29" s="11" t="inlineStr">
        <is>
          <t>Year 4 Re-draw (USD)</t>
        </is>
      </c>
      <c r="C29" s="20" t="n">
        <v>16000000</v>
      </c>
      <c r="E29" s="13" t="inlineStr">
        <is>
          <t>$16M — partially funds $30M mid-cycle GPU refresh CapEx.</t>
        </is>
      </c>
    </row>
    <row r="30" ht="20" customHeight="1">
      <c r="B30" s="11" t="inlineStr">
        <is>
          <t>Project Debt Interest Rate (%)</t>
        </is>
      </c>
      <c r="C30" s="17" t="n">
        <v>0.065</v>
      </c>
      <c r="E30" s="13" t="inlineStr">
        <is>
          <t>Senior secured rate on isolated project facility.</t>
        </is>
      </c>
    </row>
    <row r="31" ht="20" customHeight="1">
      <c r="B31" s="11" t="inlineStr">
        <is>
          <t>Corporate Tax Rate (%)</t>
        </is>
      </c>
      <c r="C31" s="17" t="n">
        <v>0.3</v>
      </c>
      <c r="E31" s="13" t="inlineStr">
        <is>
          <t>Australian statutory rate applied at SPV level (30%).</t>
        </is>
      </c>
    </row>
    <row r="33" ht="22" customHeight="1">
      <c r="A33" s="9" t="inlineStr">
        <is>
          <t>BLOCK 5  ·  Valuation &amp; Exit  (USD)</t>
        </is>
      </c>
      <c r="B33" s="10" t="n"/>
      <c r="C33" s="10" t="n"/>
      <c r="D33" s="10" t="n"/>
      <c r="E33" s="4" t="n"/>
    </row>
    <row r="34" ht="20" customHeight="1">
      <c r="B34" s="11" t="inlineStr">
        <is>
          <t>Project WACC (%)</t>
        </is>
      </c>
      <c r="C34" s="17" t="n">
        <v>0.125</v>
      </c>
      <c r="E34" s="13" t="inlineStr">
        <is>
          <t>Weighted Average Cost of Capital for unlevered DCF discounting.</t>
        </is>
      </c>
    </row>
    <row r="35" ht="20" customHeight="1">
      <c r="B35" s="11" t="inlineStr">
        <is>
          <t>Perpetuity Growth Rate — g (%)</t>
        </is>
      </c>
      <c r="C35" s="17" t="n">
        <v>0.005</v>
      </c>
      <c r="E35" s="13" t="inlineStr">
        <is>
          <t>Fixed 72MW ceiling → inflation-only growth assumption.</t>
        </is>
      </c>
    </row>
    <row r="36" ht="20" customHeight="1">
      <c r="B36" s="11" t="inlineStr">
        <is>
          <t>EV/EBITDA — Downside Exit</t>
        </is>
      </c>
      <c r="C36" s="21" t="n">
        <v>10</v>
      </c>
      <c r="E36" s="13" t="inlineStr">
        <is>
          <t>Distressed sale / market de-rating scenario.</t>
        </is>
      </c>
    </row>
    <row r="37" ht="20" customHeight="1">
      <c r="B37" s="11" t="inlineStr">
        <is>
          <t>EV/EBITDA — Base Case Exit</t>
        </is>
      </c>
      <c r="C37" s="21" t="n">
        <v>13.5</v>
      </c>
      <c r="E37" s="13" t="inlineStr">
        <is>
          <t>Negotiated strategic sale — modest discount to APAC peers (14–18×).</t>
        </is>
      </c>
    </row>
    <row r="38" ht="20" customHeight="1">
      <c r="B38" s="11" t="inlineStr">
        <is>
          <t>EV/EBITDA — Upside Exit</t>
        </is>
      </c>
      <c r="C38" s="21" t="n">
        <v>16</v>
      </c>
      <c r="E38" s="13" t="inlineStr">
        <is>
          <t>Portfolio sale or SPV IPO capturing sovereign AI infrastructure premium.</t>
        </is>
      </c>
    </row>
  </sheetData>
  <mergeCells count="8">
    <mergeCell ref="A4:E4"/>
    <mergeCell ref="A26:E26"/>
    <mergeCell ref="A2:E2"/>
    <mergeCell ref="A7:E7"/>
    <mergeCell ref="A19:E19"/>
    <mergeCell ref="A33:E33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6" customHeight="1">
      <c r="A1" s="22" t="inlineStr">
        <is>
          <t>PROJECT FINANCE MODEL  ·  72MW AI Factory SPV  ·  All figures USD</t>
        </is>
      </c>
      <c r="B1" s="10" t="n"/>
      <c r="C1" s="10" t="n"/>
      <c r="D1" s="10" t="n"/>
      <c r="E1" s="10" t="n"/>
      <c r="F1" s="10" t="n"/>
      <c r="G1" s="10" t="n"/>
      <c r="H1" s="4" t="n"/>
    </row>
    <row r="2" ht="26" customHeight="1">
      <c r="A2" s="23" t="inlineStr">
        <is>
          <t>Project Developer Co  ×  Technology Provider  ·  6-Year Framework  ·  USD</t>
        </is>
      </c>
      <c r="B2" s="24" t="n"/>
      <c r="C2" s="24" t="n"/>
      <c r="D2" s="24" t="n"/>
      <c r="E2" s="24" t="n"/>
      <c r="F2" s="24" t="n"/>
      <c r="G2" s="24" t="n"/>
      <c r="H2" s="25" t="n"/>
    </row>
    <row r="4" ht="20" customHeight="1">
      <c r="A4" s="26" t="inlineStr">
        <is>
          <t>LINE ITEM</t>
        </is>
      </c>
      <c r="B4" s="27" t="inlineStr">
        <is>
          <t>Year 1</t>
        </is>
      </c>
      <c r="C4" s="27" t="inlineStr">
        <is>
          <t>Year 2</t>
        </is>
      </c>
      <c r="D4" s="27" t="inlineStr">
        <is>
          <t>Year 3</t>
        </is>
      </c>
      <c r="E4" s="27" t="inlineStr">
        <is>
          <t>Year 4</t>
        </is>
      </c>
      <c r="F4" s="27" t="inlineStr">
        <is>
          <t>Year 5</t>
        </is>
      </c>
      <c r="G4" s="27" t="inlineStr">
        <is>
          <t>Year 6</t>
        </is>
      </c>
      <c r="H4" s="26" t="inlineStr">
        <is>
          <t>NARRATIVE / AUDIT RULE</t>
        </is>
      </c>
    </row>
    <row r="5" ht="26" customHeight="1">
      <c r="A5" s="23" t="inlineStr">
        <is>
          <t>I.  REVENUE &amp; OPERATING INCOME  (USD)</t>
        </is>
      </c>
      <c r="B5" s="24" t="n"/>
      <c r="C5" s="24" t="n"/>
      <c r="D5" s="24" t="n"/>
      <c r="E5" s="24" t="n"/>
      <c r="F5" s="24" t="n"/>
      <c r="G5" s="24" t="n"/>
      <c r="H5" s="25" t="n"/>
    </row>
    <row r="6" ht="18" customHeight="1">
      <c r="A6" s="28" t="inlineStr">
        <is>
          <t>Gross AI Cloud Revenue  [GPU_Count × $0.80 USD/hr × 8,760 hrs × Utilisation]</t>
        </is>
      </c>
      <c r="B6" s="29" t="n">
        <v>84096000</v>
      </c>
      <c r="C6" s="29" t="n">
        <v>215846400</v>
      </c>
      <c r="D6" s="29" t="n">
        <v>215846400</v>
      </c>
      <c r="E6" s="29" t="n">
        <v>224256000</v>
      </c>
      <c r="F6" s="29" t="n">
        <v>224256000</v>
      </c>
      <c r="G6" s="29" t="n">
        <v>224256000</v>
      </c>
      <c r="H6" s="30" t="inlineStr">
        <is>
          <t>Per-GPU-compute-hour billing in USD.  GPU wholesale pricing is globally USD-quoted.
  Year 1 (30%): $84.1M  |  Year 2 (77%): $215.9M  |  Year 4-6 (80%): $224.3M
Tranche 1 (~55.44MW) covered by take-or-pay contracts at 97.5% occupancy floor.</t>
        </is>
      </c>
    </row>
    <row r="7" ht="18" customHeight="1">
      <c r="A7" s="31" t="inlineStr">
        <is>
          <t xml:space="preserve">  (–) Technology Provider Revenue Share  [25% × Gross Revenue]</t>
        </is>
      </c>
      <c r="B7" s="32" t="n">
        <v>-21024000</v>
      </c>
      <c r="C7" s="32" t="n">
        <v>-53961600</v>
      </c>
      <c r="D7" s="32" t="n">
        <v>-53961600</v>
      </c>
      <c r="E7" s="32" t="n">
        <v>-56064000</v>
      </c>
      <c r="F7" s="32" t="n">
        <v>-56064000</v>
      </c>
      <c r="G7" s="32" t="n">
        <v>-56064000</v>
      </c>
      <c r="H7" s="30">
        <f> Gross Revenue × 25%.  Replaces ~$260M USD upfront GPU CapEx with a perpetual revenue-sharing obligation.  Variable cost: shrinks proportionately if utilisation falls, cushioning EBITDA downside.</f>
        <v/>
      </c>
    </row>
    <row r="8" ht="18" customHeight="1">
      <c r="A8" s="33" t="inlineStr">
        <is>
          <t xml:space="preserve">  (–) Data Centre Power &amp; Colocation  [GPU × 1.8kW × util × hrs × $0.065 USD/kWh / PUE 1.4]</t>
        </is>
      </c>
      <c r="B8" s="34" t="n">
        <v>-8785029</v>
      </c>
      <c r="C8" s="34" t="n">
        <v>-22548240</v>
      </c>
      <c r="D8" s="34" t="n">
        <v>-22548240</v>
      </c>
      <c r="E8" s="34" t="n">
        <v>-23426743</v>
      </c>
      <c r="F8" s="34" t="n">
        <v>-23426743</v>
      </c>
      <c r="G8" s="34" t="n">
        <v>-23426743</v>
      </c>
      <c r="H8" s="30" t="inlineStr">
        <is>
          <t>Power cost = GPU_N × 1.8kW × utilisation × 8,760hrs × $0.065 USD/kWh ÷ PUE(1.4).
Partially variable with GPU spin-up — tracks utilisation.</t>
        </is>
      </c>
    </row>
    <row r="9" ht="18" customHeight="1">
      <c r="A9" s="33" t="inlineStr">
        <is>
          <t xml:space="preserve">  (–) Direct Facility &amp; Maintenance Costs  (USD)</t>
        </is>
      </c>
      <c r="B9" s="34" t="n">
        <v>-2500000</v>
      </c>
      <c r="C9" s="34" t="n">
        <v>-5500000</v>
      </c>
      <c r="D9" s="34" t="n">
        <v>-5500000</v>
      </c>
      <c r="E9" s="34" t="n">
        <v>-5500000</v>
      </c>
      <c r="F9" s="34" t="n">
        <v>-5500000</v>
      </c>
      <c r="G9" s="34" t="n">
        <v>-5500000</v>
      </c>
      <c r="H9" s="30" t="inlineStr">
        <is>
          <t>Year 1: $2.5M USD (commissioning phase).  Year 2+: $5.5M USD p.a. (full operations — on-site engineers, cooling upkeep, monitoring, security, facilities management).</t>
        </is>
      </c>
    </row>
    <row r="10" ht="18" customHeight="1">
      <c r="A10" s="35" t="inlineStr">
        <is>
          <t>PROJECT EBITDA  (USD)</t>
        </is>
      </c>
      <c r="B10" s="36" t="n">
        <v>51786971</v>
      </c>
      <c r="C10" s="36" t="n">
        <v>133836560</v>
      </c>
      <c r="D10" s="36" t="n">
        <v>133836560</v>
      </c>
      <c r="E10" s="36" t="n">
        <v>139265257</v>
      </c>
      <c r="F10" s="36" t="n">
        <v>139265257</v>
      </c>
      <c r="G10" s="36" t="n">
        <v>139265257</v>
      </c>
      <c r="H10" s="30">
        <f> Gross Revenue – Tech Provider Share – Power – Maintenance.
Year 6 EBITDA = USD $139.3M  →  TV (base 13.5×) = USD $1880M</f>
        <v/>
      </c>
    </row>
    <row r="11" ht="18" customHeight="1">
      <c r="A11" s="11" t="inlineStr">
        <is>
          <t xml:space="preserve">  (–) Hardware &amp; Fit-Out Depreciation  (D&amp;A, USD)</t>
        </is>
      </c>
      <c r="B11" s="37" t="n">
        <v>-18100000</v>
      </c>
      <c r="C11" s="37" t="n">
        <v>-32500000</v>
      </c>
      <c r="D11" s="37" t="n">
        <v>-32500000</v>
      </c>
      <c r="E11" s="37" t="n">
        <v>-32500000</v>
      </c>
      <c r="F11" s="37" t="n">
        <v>-18100000</v>
      </c>
      <c r="G11" s="37" t="n">
        <v>-13000000</v>
      </c>
      <c r="H11" s="30" t="inlineStr">
        <is>
          <t xml:space="preserve">  Fit-out $62M USD / 5yr = $12.4M/yr (Years 1–5)
  Hardware tranche 1 / 4yr = $5.7M/yr (Years 1–4)
  Hardware tranche 2 from Yr2 / 4yr = $14.4M/yr (Years 2–5)
Non-cash — reversed in FCF derivation below.</t>
        </is>
      </c>
    </row>
    <row r="12" ht="18" customHeight="1">
      <c r="A12" s="38" t="inlineStr">
        <is>
          <t>PROJECT EBIT  (Operating Income, USD)</t>
        </is>
      </c>
      <c r="B12" s="39" t="n">
        <v>33686971</v>
      </c>
      <c r="C12" s="39" t="n">
        <v>101336560</v>
      </c>
      <c r="D12" s="39" t="n">
        <v>101336560</v>
      </c>
      <c r="E12" s="39" t="n">
        <v>106765257</v>
      </c>
      <c r="F12" s="39" t="n">
        <v>121165257</v>
      </c>
      <c r="G12" s="39" t="n">
        <v>126265257</v>
      </c>
      <c r="H12" s="30">
        <f> EBITDA – D&amp;A.  Negative Year 1 due to D&amp;A burden on fit-out assets.  Turns positive Year 2.</f>
        <v/>
      </c>
    </row>
    <row r="13" ht="18" customHeight="1">
      <c r="A13" s="11" t="inlineStr">
        <is>
          <t xml:space="preserve">  (–) Corporate Tax  [30% on positive EBIT; nil when EBIT ≤ 0]</t>
        </is>
      </c>
      <c r="B13" s="37" t="n">
        <v>-10106091</v>
      </c>
      <c r="C13" s="37" t="n">
        <v>-30400968</v>
      </c>
      <c r="D13" s="37" t="n">
        <v>-30400968</v>
      </c>
      <c r="E13" s="37" t="n">
        <v>-32029577</v>
      </c>
      <c r="F13" s="37" t="n">
        <v>-36349577</v>
      </c>
      <c r="G13" s="37" t="n">
        <v>-37879577</v>
      </c>
      <c r="H13" s="30" t="inlineStr">
        <is>
          <t>IF(EBIT &gt; 0, EBIT × –30%, $0).  SPV tax losses may carry forward.</t>
        </is>
      </c>
    </row>
    <row r="15" ht="26" customHeight="1">
      <c r="A15" s="23" t="inlineStr">
        <is>
          <t>II.  FREE CASH FLOW TO FIRM (FCFF)  —  Unlevered Project Return  (USD)</t>
        </is>
      </c>
      <c r="B15" s="24" t="n"/>
      <c r="C15" s="24" t="n"/>
      <c r="D15" s="24" t="n"/>
      <c r="E15" s="24" t="n"/>
      <c r="F15" s="24" t="n"/>
      <c r="G15" s="24" t="n"/>
      <c r="H15" s="25" t="n"/>
    </row>
    <row r="16" ht="18" customHeight="1">
      <c r="A16" s="28" t="inlineStr">
        <is>
          <t>NOPAT  [EBIT × (1–30%) when positive; EBIT when negative]</t>
        </is>
      </c>
      <c r="B16" s="29" t="n">
        <v>23580880</v>
      </c>
      <c r="C16" s="29" t="n">
        <v>70935592</v>
      </c>
      <c r="D16" s="29" t="n">
        <v>70935592</v>
      </c>
      <c r="E16" s="29" t="n">
        <v>74735680</v>
      </c>
      <c r="F16" s="29" t="n">
        <v>84815680</v>
      </c>
      <c r="G16" s="29" t="n">
        <v>88385680</v>
      </c>
      <c r="H16" s="30" t="inlineStr">
        <is>
          <t>Net Operating Profit After Tax — starting point for FCF.</t>
        </is>
      </c>
    </row>
    <row r="17" ht="18" customHeight="1">
      <c r="A17" s="11" t="inlineStr">
        <is>
          <t xml:space="preserve">  (+) D&amp;A Addback  (non-cash reversal)</t>
        </is>
      </c>
      <c r="B17" s="40" t="n">
        <v>18100000</v>
      </c>
      <c r="C17" s="40" t="n">
        <v>32500000</v>
      </c>
      <c r="D17" s="40" t="n">
        <v>32500000</v>
      </c>
      <c r="E17" s="40" t="n">
        <v>32500000</v>
      </c>
      <c r="F17" s="40" t="n">
        <v>18100000</v>
      </c>
      <c r="G17" s="40" t="n">
        <v>13000000</v>
      </c>
      <c r="H17" s="30" t="inlineStr">
        <is>
          <t>Reverses non-cash D&amp;A to restore actual operating cash generated.</t>
        </is>
      </c>
    </row>
    <row r="18" ht="18" customHeight="1">
      <c r="A18" s="11" t="inlineStr">
        <is>
          <t xml:space="preserve">  (±) Change in Net Working Capital  (USD)</t>
        </is>
      </c>
      <c r="B18" s="37" t="n">
        <v>-2000000</v>
      </c>
      <c r="C18" s="37" t="n">
        <v>-3250000</v>
      </c>
      <c r="D18" s="37" t="n">
        <v>-1300000</v>
      </c>
      <c r="E18" s="40" t="n">
        <v>0</v>
      </c>
      <c r="F18" s="40" t="n">
        <v>0</v>
      </c>
      <c r="G18" s="40" t="n">
        <v>0</v>
      </c>
      <c r="H18" s="30" t="inlineStr">
        <is>
          <t>Timing between USD contract invoicing and USD/local cost payment cycles.  Year 4+: $0.</t>
        </is>
      </c>
    </row>
    <row r="19" ht="18" customHeight="1">
      <c r="A19" s="31" t="inlineStr">
        <is>
          <t xml:space="preserve">  (–) Capital Expenditure  (USD)</t>
        </is>
      </c>
      <c r="B19" s="32" t="n">
        <v>-62000000</v>
      </c>
      <c r="C19" s="32" t="n">
        <v>-10000000</v>
      </c>
      <c r="D19" s="32" t="n">
        <v>-10000000</v>
      </c>
      <c r="E19" s="32" t="n">
        <v>-30000000</v>
      </c>
      <c r="F19" s="32" t="n">
        <v>-10000000</v>
      </c>
      <c r="G19" s="32" t="n">
        <v>-10000000</v>
      </c>
      <c r="H19" s="30" t="inlineStr">
        <is>
          <t>Year 1: –$62M USD  Fit-out, liquid-cooling manifolds, substations.
Year 2–3: –$10M  Routine maintenance.
Year 4: –$30M  Mid-cycle GPU refresh ($16M funded by debt re-draw).
Year 5–6: –$10M  Tail maintenance.</t>
        </is>
      </c>
    </row>
    <row r="20" ht="18" customHeight="1">
      <c r="A20" s="41" t="inlineStr">
        <is>
          <t>UNLEVERED PROJECT FCF  (FCFF, USD)</t>
        </is>
      </c>
      <c r="B20" s="42" t="n">
        <v>-22319120</v>
      </c>
      <c r="C20" s="43" t="n">
        <v>90185592</v>
      </c>
      <c r="D20" s="43" t="n">
        <v>92135592</v>
      </c>
      <c r="E20" s="43" t="n">
        <v>77235680</v>
      </c>
      <c r="F20" s="43" t="n">
        <v>92915680</v>
      </c>
      <c r="G20" s="43" t="n">
        <v>91385680</v>
      </c>
      <c r="H20" s="30">
        <f> NOPAT + D&amp;A – ΔNWC – CapEx.  Input stream for Non-Leveraged IRR.
Year 1: USD $-22.3M (CapEx dominated).  Year 2+: USD $90.2M+.
Terminal Value (13.5× base) appended to Year 6: +USD $1880M.</f>
        <v/>
      </c>
    </row>
    <row r="22" ht="26" customHeight="1">
      <c r="A22" s="22" t="inlineStr">
        <is>
          <t>III.  FREE CASH FLOW TO EQUITY (FCFE)  —  Levered Return  (USD)</t>
        </is>
      </c>
      <c r="B22" s="10" t="n"/>
      <c r="C22" s="10" t="n"/>
      <c r="D22" s="10" t="n"/>
      <c r="E22" s="10" t="n"/>
      <c r="F22" s="10" t="n"/>
      <c r="G22" s="10" t="n"/>
      <c r="H22" s="4" t="n"/>
    </row>
    <row r="23" ht="18" customHeight="1">
      <c r="A23" s="28" t="inlineStr">
        <is>
          <t>Unlevered FCF (FCFF)  [carry-down]</t>
        </is>
      </c>
      <c r="B23" s="44" t="n">
        <v>-22319120</v>
      </c>
      <c r="C23" s="29" t="n">
        <v>90185592</v>
      </c>
      <c r="D23" s="29" t="n">
        <v>92135592</v>
      </c>
      <c r="E23" s="29" t="n">
        <v>77235680</v>
      </c>
      <c r="F23" s="29" t="n">
        <v>92915680</v>
      </c>
      <c r="G23" s="29" t="n">
        <v>91385680</v>
      </c>
      <c r="H23" s="30" t="inlineStr">
        <is>
          <t>Direct carry-down.  Debt service adjustments applied below.</t>
        </is>
      </c>
    </row>
    <row r="24" ht="18" customHeight="1">
      <c r="A24" s="31" t="inlineStr">
        <is>
          <t xml:space="preserve">  (–) Post-Tax Project Debt Interest  [Balance × 6.5% × (1–30%)]</t>
        </is>
      </c>
      <c r="B24" s="32" t="n">
        <v>-910000</v>
      </c>
      <c r="C24" s="32" t="n">
        <v>-1228500</v>
      </c>
      <c r="D24" s="32" t="n">
        <v>-864500</v>
      </c>
      <c r="E24" s="32" t="n">
        <v>-1137500</v>
      </c>
      <c r="F24" s="32" t="n">
        <v>-1137500</v>
      </c>
      <c r="G24" s="32" t="n">
        <v>-546000</v>
      </c>
      <c r="H24" s="30" t="inlineStr">
        <is>
          <t>Applied on drawn balance × 6.5% × 0.70 (post-tax).  Year 1 balance $32M → declining per amortisation schedule.  All in USD.</t>
        </is>
      </c>
    </row>
    <row r="25" ht="18" customHeight="1">
      <c r="A25" s="45" t="inlineStr">
        <is>
          <t xml:space="preserve">  (+) Project Debt Facility Drawdowns  (USD)</t>
        </is>
      </c>
      <c r="B25" s="46" t="n">
        <v>20000000</v>
      </c>
      <c r="C25" s="46" t="n">
        <v>7000000</v>
      </c>
      <c r="D25" s="46" t="n">
        <v>0</v>
      </c>
      <c r="E25" s="46" t="n">
        <v>16000000</v>
      </c>
      <c r="F25" s="46" t="n">
        <v>0</v>
      </c>
      <c r="G25" s="46" t="n">
        <v>0</v>
      </c>
      <c r="H25" s="30" t="inlineStr">
        <is>
          <t>Year 1: $20M — fit-out and liquid-cooling draw (set below $22.3M FCFF gap → equity must fund balance).
Year 2: $7M  — Phase 2 hardware commissioning.
Year 4: $16M — partial funding of $30M mid-cycle GPU refresh.</t>
        </is>
      </c>
    </row>
    <row r="26" ht="18" customHeight="1">
      <c r="A26" s="31" t="inlineStr">
        <is>
          <t xml:space="preserve">  (–) Project Debt Principal Repayments  (USD)</t>
        </is>
      </c>
      <c r="B26" s="47" t="n">
        <v>0</v>
      </c>
      <c r="C26" s="32" t="n">
        <v>-8000000</v>
      </c>
      <c r="D26" s="32" t="n">
        <v>-10000000</v>
      </c>
      <c r="E26" s="47" t="n">
        <v>0</v>
      </c>
      <c r="F26" s="32" t="n">
        <v>-13000000</v>
      </c>
      <c r="G26" s="32" t="n">
        <v>-12000000</v>
      </c>
      <c r="H26" s="30" t="inlineStr">
        <is>
          <t>Structured amortisation targeting zero leverage at Year 6 exit:
Year 2: –$8M  |  Year 3: –$10M  |  Year 5: –$13M  |  Year 6: –$12M</t>
        </is>
      </c>
    </row>
    <row r="27" ht="18" customHeight="1">
      <c r="A27" s="48" t="inlineStr">
        <is>
          <t>LEVERED EQUITY FCF  (FCFE, USD)</t>
        </is>
      </c>
      <c r="B27" s="49" t="n">
        <v>-3229120</v>
      </c>
      <c r="C27" s="50" t="n">
        <v>87957092</v>
      </c>
      <c r="D27" s="50" t="n">
        <v>81271092</v>
      </c>
      <c r="E27" s="50" t="n">
        <v>92098180</v>
      </c>
      <c r="F27" s="50" t="n">
        <v>78778180</v>
      </c>
      <c r="G27" s="50" t="n">
        <v>78839680</v>
      </c>
      <c r="H27" s="30">
        <f> FCFF + Net Borrowing – Post-Tax Interest.
Year 1 FCFE: USD $-3.2M  (equity sponsor funds FCFF gap after $20M debt draw).
Debt covers ~90% of Year 1 cash needs; equity outlay is small but clearly negative.</f>
        <v/>
      </c>
    </row>
    <row r="29" ht="26" customHeight="1">
      <c r="A29" s="22" t="inlineStr">
        <is>
          <t>IV.  TERMINAL VALUE  &amp;  IRR ANALYSIS  (USD)</t>
        </is>
      </c>
      <c r="B29" s="10" t="n"/>
      <c r="C29" s="10" t="n"/>
      <c r="D29" s="10" t="n"/>
      <c r="E29" s="10" t="n"/>
      <c r="F29" s="10" t="n"/>
      <c r="G29" s="10" t="n"/>
      <c r="H29" s="4" t="n"/>
    </row>
    <row r="30" ht="18" customHeight="1">
      <c r="A30" s="51" t="inlineStr">
        <is>
          <t>EBITDA — Year 6  (Terminal Reference, USD)</t>
        </is>
      </c>
      <c r="B30" s="52" t="n"/>
      <c r="C30" s="52" t="n"/>
      <c r="D30" s="52" t="n"/>
      <c r="E30" s="52" t="n"/>
      <c r="F30" s="52" t="n"/>
      <c r="G30" s="52" t="n">
        <v>139265257</v>
      </c>
      <c r="H30" s="30" t="inlineStr">
        <is>
          <t>Year 6 EBITDA = USD $139.3M — denominator for EV/EBITDA terminal value.</t>
        </is>
      </c>
    </row>
    <row r="31" ht="18" customHeight="1">
      <c r="A31" s="31" t="inlineStr">
        <is>
          <t xml:space="preserve">  TV — Downside  (10.0× EBITDA)</t>
        </is>
      </c>
      <c r="B31" s="47" t="n"/>
      <c r="C31" s="47" t="n"/>
      <c r="D31" s="47" t="n"/>
      <c r="E31" s="47" t="n"/>
      <c r="F31" s="47" t="n"/>
      <c r="G31" s="47" t="n">
        <v>1392652570</v>
      </c>
      <c r="H31" s="30" t="inlineStr">
        <is>
          <t>USD $1393M — distressed asset sale or market de-rating at exit.</t>
        </is>
      </c>
    </row>
    <row r="32" ht="18" customHeight="1">
      <c r="A32" s="53" t="inlineStr">
        <is>
          <t xml:space="preserve">  TV — Base Case  (13.5× EBITDA)</t>
        </is>
      </c>
      <c r="B32" s="54" t="n"/>
      <c r="C32" s="54" t="n"/>
      <c r="D32" s="54" t="n"/>
      <c r="E32" s="54" t="n"/>
      <c r="F32" s="54" t="n"/>
      <c r="G32" s="54" t="n">
        <v>1880080970</v>
      </c>
      <c r="H32" s="30" t="inlineStr">
        <is>
          <t>USD $1880M — negotiated strategic sale.  Formula: EBITDA_Yr6 × 13.5.</t>
        </is>
      </c>
    </row>
    <row r="33" ht="18" customHeight="1">
      <c r="A33" s="45" t="inlineStr">
        <is>
          <t xml:space="preserve">  TV — Upside  (16.0× EBITDA)</t>
        </is>
      </c>
      <c r="B33" s="46" t="n"/>
      <c r="C33" s="46" t="n"/>
      <c r="D33" s="46" t="n"/>
      <c r="E33" s="46" t="n"/>
      <c r="F33" s="46" t="n"/>
      <c r="G33" s="46" t="n">
        <v>2228244112</v>
      </c>
      <c r="H33" s="30" t="inlineStr">
        <is>
          <t>USD $2228M — portfolio sale or SPV IPO.</t>
        </is>
      </c>
    </row>
    <row r="34" ht="18" customHeight="1">
      <c r="A34" s="55" t="inlineStr">
        <is>
          <t xml:space="preserve">  TV — Perpetuity Growth  (g=0.5%)</t>
        </is>
      </c>
      <c r="B34" s="56" t="n"/>
      <c r="C34" s="56" t="n"/>
      <c r="D34" s="56" t="n"/>
      <c r="E34" s="56" t="n"/>
      <c r="F34" s="56" t="n"/>
      <c r="G34" s="56" t="n">
        <v>765355070</v>
      </c>
      <c r="H34" s="30" t="inlineStr">
        <is>
          <t>USD $765M — Gordon Growth: FCFF_Yr6 × 1.005 / (12.5%–0.5%)</t>
        </is>
      </c>
    </row>
    <row r="36" ht="18" customHeight="1">
      <c r="A36" s="35" t="inlineStr">
        <is>
          <t>NON-LEVERAGED PROJECT IRR  (FCFF + TV Base $1880M USD)</t>
        </is>
      </c>
      <c r="B36" s="36" t="inlineStr">
        <is>
          <t>413.4%</t>
        </is>
      </c>
      <c r="C36" s="36" t="n"/>
      <c r="D36" s="36" t="n"/>
      <c r="E36" s="36" t="n"/>
      <c r="F36" s="36" t="n"/>
      <c r="G36" s="36" t="n"/>
      <c r="H36" s="30">
        <f> IRR(FCFF_Year1 … FCFF_Year6 + TV).
Very high IRR reflects capital-light structure: Technology Provider credit support eliminates ~$260M USD GPU CapEx; only $62M Year 1 outflow vs $100M+ steady-state EBITDA from Year 2.</f>
        <v/>
      </c>
    </row>
    <row r="37" ht="18" customHeight="1">
      <c r="A37" s="48" t="inlineStr">
        <is>
          <t>LEVERAGED EQUITY IRR  (FCFE + TV Base $1880M USD)</t>
        </is>
      </c>
      <c r="B37" s="50" t="inlineStr">
        <is>
          <t>2717.0%</t>
        </is>
      </c>
      <c r="C37" s="50" t="n"/>
      <c r="D37" s="50" t="n"/>
      <c r="E37" s="50" t="n"/>
      <c r="F37" s="50" t="n"/>
      <c r="G37" s="50" t="n"/>
      <c r="H37" s="30">
        <f> IRR(FCFE_Year1 … FCFE_Year6 + TV).
Equity outlay Year 1: USD $-3.2M.  Debt facility covers 83% of initial cash needs.</f>
        <v/>
      </c>
    </row>
    <row r="38" ht="18" customHeight="1">
      <c r="A38" s="38" t="inlineStr">
        <is>
          <t>PROJECT NPV AT WACC 12.5%  (USD)</t>
        </is>
      </c>
      <c r="B38" s="39" t="inlineStr">
        <is>
          <t>USD $1188M</t>
        </is>
      </c>
      <c r="C38" s="39" t="n"/>
      <c r="D38" s="39" t="n"/>
      <c r="E38" s="39" t="n"/>
      <c r="F38" s="39" t="n"/>
      <c r="G38" s="39" t="n"/>
      <c r="H38" s="30">
        <f> Σ FCFF_t/(1.125)^t + TV_Base/(1.125)^6 — discounted at project WACC 12.5%.
Positive NPV confirms substantial value creation above the required return threshold.</f>
        <v/>
      </c>
    </row>
  </sheetData>
  <mergeCells count="6">
    <mergeCell ref="A1:H1"/>
    <mergeCell ref="A15:H15"/>
    <mergeCell ref="A29:H29"/>
    <mergeCell ref="A2:H2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 ht="36" customHeight="1">
      <c r="A1" s="57" t="inlineStr">
        <is>
          <t>SENSITIVITY ANALYSIS  –  72MW AI Factory SPV  (USD)</t>
        </is>
      </c>
    </row>
    <row r="2" ht="20" customHeight="1">
      <c r="A2" s="58" t="inlineStr">
        <is>
          <t>X-Axis: EV/EBITDA Exit Multiple  |  Y-Axis: Steady-State Utilisation Yr2–6  (Year 1 fixed at 30% ramp)  |  Base Case: 77% × 13.5×  |  All USD</t>
        </is>
      </c>
    </row>
    <row r="4" ht="18" customHeight="1">
      <c r="B4" s="59" t="inlineStr">
        <is>
          <t>TABLE A KEY (Unlevered IRR %)</t>
        </is>
      </c>
      <c r="C4" s="60" t="inlineStr">
        <is>
          <t>≥ 150% — Exceptional</t>
        </is>
      </c>
      <c r="D4" s="61" t="inlineStr">
        <is>
          <t>100–150% — Very Strong</t>
        </is>
      </c>
      <c r="E4" s="62" t="inlineStr">
        <is>
          <t>50–100% — Strong</t>
        </is>
      </c>
      <c r="F4" s="63" t="inlineStr">
        <is>
          <t>25–50% — Acceptable</t>
        </is>
      </c>
      <c r="G4" s="64" t="inlineStr">
        <is>
          <t>&lt; 25% — Below Target</t>
        </is>
      </c>
    </row>
    <row r="5" ht="18" customHeight="1">
      <c r="B5" s="59" t="inlineStr">
        <is>
          <t>TABLE B KEY (NPV USD M)</t>
        </is>
      </c>
      <c r="C5" s="60" t="inlineStr">
        <is>
          <t>≥ $800M — Exceptional</t>
        </is>
      </c>
      <c r="D5" s="61" t="inlineStr">
        <is>
          <t>$400–800M — Strong</t>
        </is>
      </c>
      <c r="E5" s="62" t="inlineStr">
        <is>
          <t>$150–400M — Acceptable</t>
        </is>
      </c>
      <c r="F5" s="63" t="inlineStr">
        <is>
          <t>$0–150M — Marginal</t>
        </is>
      </c>
      <c r="G5" s="64" t="inlineStr">
        <is>
          <t>Negative NPV</t>
        </is>
      </c>
    </row>
    <row r="7" ht="22" customHeight="1">
      <c r="A7" s="65" t="inlineStr">
        <is>
          <t>TABLE A  |  UNLEVERED PROJECT IRR (%)  —  Steady-State Utilisation Yr2–6 vs EV/EBITDA Exit Multiple  (Year 1 always 30% ramp  |  USD)</t>
        </is>
      </c>
    </row>
    <row r="8" ht="28" customHeight="1">
      <c r="B8" s="66" t="inlineStr">
        <is>
          <t>Util \ Multiple →</t>
        </is>
      </c>
      <c r="C8" s="67" t="inlineStr">
        <is>
          <t>10.0×</t>
        </is>
      </c>
      <c r="D8" s="67" t="inlineStr">
        <is>
          <t>11.0×</t>
        </is>
      </c>
      <c r="E8" s="67" t="inlineStr">
        <is>
          <t>12.0×</t>
        </is>
      </c>
      <c r="F8" s="67" t="inlineStr">
        <is>
          <t>13.5×</t>
        </is>
      </c>
      <c r="G8" s="67" t="inlineStr">
        <is>
          <t>14.0×</t>
        </is>
      </c>
      <c r="H8" s="67" t="inlineStr">
        <is>
          <t>15.0×</t>
        </is>
      </c>
      <c r="I8" s="67" t="inlineStr">
        <is>
          <t>16.0×</t>
        </is>
      </c>
    </row>
    <row r="9" ht="20" customHeight="1">
      <c r="B9" s="68" t="inlineStr">
        <is>
          <t>55%</t>
        </is>
      </c>
      <c r="C9" s="69" t="n">
        <v>2.903114772395583</v>
      </c>
      <c r="D9" s="69" t="n">
        <v>2.915161312206786</v>
      </c>
      <c r="E9" s="69" t="n">
        <v>2.92696049175507</v>
      </c>
      <c r="F9" s="69" t="n">
        <v>2.944221148262429</v>
      </c>
      <c r="G9" s="69" t="n">
        <v>2.949863304474572</v>
      </c>
      <c r="H9" s="69" t="n">
        <v>2.960988083703082</v>
      </c>
      <c r="I9" s="69" t="n">
        <v>2.971907960571589</v>
      </c>
    </row>
    <row r="10" ht="20" customHeight="1">
      <c r="B10" s="68" t="inlineStr">
        <is>
          <t>60%</t>
        </is>
      </c>
      <c r="C10" s="69" t="n">
        <v>3.17175100657586</v>
      </c>
      <c r="D10" s="69" t="n">
        <v>3.182309667704277</v>
      </c>
      <c r="E10" s="69" t="n">
        <v>3.192686198516078</v>
      </c>
      <c r="F10" s="69" t="n">
        <v>3.207925522722591</v>
      </c>
      <c r="G10" s="69" t="n">
        <v>3.212921935172927</v>
      </c>
      <c r="H10" s="69" t="n">
        <v>3.222794543740713</v>
      </c>
      <c r="I10" s="69" t="n">
        <v>3.23251190315432</v>
      </c>
    </row>
    <row r="11" ht="20" customHeight="1">
      <c r="B11" s="68" t="inlineStr">
        <is>
          <t>65%</t>
        </is>
      </c>
      <c r="C11" s="69" t="n">
        <v>3.442784233072301</v>
      </c>
      <c r="D11" s="69" t="n">
        <v>3.452037382396522</v>
      </c>
      <c r="E11" s="69" t="n">
        <v>3.461156534733067</v>
      </c>
      <c r="F11" s="69" t="n">
        <v>3.474593985270546</v>
      </c>
      <c r="G11" s="69" t="n">
        <v>3.479010950271083</v>
      </c>
      <c r="H11" s="69" t="n">
        <v>3.487754665648275</v>
      </c>
      <c r="I11" s="69" t="n">
        <v>3.496381322644385</v>
      </c>
    </row>
    <row r="12" ht="20" customHeight="1">
      <c r="B12" s="68" t="inlineStr">
        <is>
          <t>70%</t>
        </is>
      </c>
      <c r="C12" s="69" t="n">
        <v>3.715847730872786</v>
      </c>
      <c r="D12" s="69" t="n">
        <v>3.723965304922918</v>
      </c>
      <c r="E12" s="69" t="n">
        <v>3.731984096049597</v>
      </c>
      <c r="F12" s="69" t="n">
        <v>3.743833275402885</v>
      </c>
      <c r="G12" s="69" t="n">
        <v>3.747736621473411</v>
      </c>
      <c r="H12" s="69" t="n">
        <v>3.755475684406203</v>
      </c>
      <c r="I12" s="69" t="n">
        <v>3.763126637166029</v>
      </c>
    </row>
    <row r="13" ht="20" customHeight="1">
      <c r="B13" s="68" t="inlineStr">
        <is>
          <t>77%</t>
        </is>
      </c>
      <c r="C13" s="69" t="n">
        <v>4.100924371778293</v>
      </c>
      <c r="D13" s="69" t="n">
        <v>4.107705085230426</v>
      </c>
      <c r="E13" s="69" t="n">
        <v>4.114420872019721</v>
      </c>
      <c r="F13" s="70" t="n">
        <v>4.124376048018171</v>
      </c>
      <c r="G13" s="69" t="n">
        <v>4.127663551191881</v>
      </c>
      <c r="H13" s="69" t="n">
        <v>4.13419325458861</v>
      </c>
      <c r="I13" s="69" t="n">
        <v>4.1406636584919</v>
      </c>
    </row>
    <row r="14" ht="20" customHeight="1">
      <c r="B14" s="68" t="inlineStr">
        <is>
          <t>80%</t>
        </is>
      </c>
      <c r="C14" s="69" t="n">
        <v>4.26678336010811</v>
      </c>
      <c r="D14" s="69" t="n">
        <v>4.27307048171967</v>
      </c>
      <c r="E14" s="69" t="n">
        <v>4.279303179300434</v>
      </c>
      <c r="F14" s="69" t="n">
        <v>4.288552636601622</v>
      </c>
      <c r="G14" s="69" t="n">
        <v>4.291609774884231</v>
      </c>
      <c r="H14" s="69" t="n">
        <v>4.297685818211543</v>
      </c>
      <c r="I14" s="69" t="n">
        <v>4.303711731383105</v>
      </c>
    </row>
    <row r="15" ht="20" customHeight="1">
      <c r="B15" s="68" t="inlineStr">
        <is>
          <t>85%</t>
        </is>
      </c>
      <c r="C15" s="69" t="n">
        <v>4.544126363653384</v>
      </c>
      <c r="D15" s="69" t="n">
        <v>4.549682425892795</v>
      </c>
      <c r="E15" s="69" t="n">
        <v>4.55519771600101</v>
      </c>
      <c r="F15" s="69" t="n">
        <v>4.563395768445679</v>
      </c>
      <c r="G15" s="69" t="n">
        <v>4.566108831581641</v>
      </c>
      <c r="H15" s="69" t="n">
        <v>4.571506033465678</v>
      </c>
      <c r="I15" s="69" t="n">
        <v>4.576865217542368</v>
      </c>
    </row>
    <row r="16" ht="20" customHeight="1">
      <c r="B16" s="68" t="inlineStr">
        <is>
          <t>90%</t>
        </is>
      </c>
      <c r="C16" s="69" t="n">
        <v>4.822437768715413</v>
      </c>
      <c r="D16" s="69" t="n">
        <v>4.827363158451382</v>
      </c>
      <c r="E16" s="69" t="n">
        <v>4.832257786058809</v>
      </c>
      <c r="F16" s="69" t="n">
        <v>4.839543056273282</v>
      </c>
      <c r="G16" s="69" t="n">
        <v>4.841956592203903</v>
      </c>
      <c r="H16" s="69" t="n">
        <v>4.846761662129653</v>
      </c>
      <c r="I16" s="69" t="n">
        <v>4.851537753412092</v>
      </c>
    </row>
    <row r="17" ht="20" customHeight="1">
      <c r="B17" s="68" t="inlineStr">
        <is>
          <t>95%</t>
        </is>
      </c>
      <c r="C17" s="69" t="n">
        <v>5.101552074188412</v>
      </c>
      <c r="D17" s="69" t="n">
        <v>5.105932573833285</v>
      </c>
      <c r="E17" s="69" t="n">
        <v>5.11028969092283</v>
      </c>
      <c r="F17" s="69" t="n">
        <v>5.116782180491562</v>
      </c>
      <c r="G17" s="69" t="n">
        <v>5.118934974315445</v>
      </c>
      <c r="H17" s="69" t="n">
        <v>5.123223723808162</v>
      </c>
      <c r="I17" s="69" t="n">
        <v>5.127490257465761</v>
      </c>
    </row>
    <row r="19" ht="22" customHeight="1">
      <c r="A19" s="65" t="inlineStr">
        <is>
          <t>TABLE B  |  PROJECT NPV at WACC 12.5%  (USD Millions)  —  Steady-State Utilisation Yr2–6 vs EV/EBITDA Exit Multiple  (Year 1 always 30% ramp  |  USD)</t>
        </is>
      </c>
    </row>
    <row r="20" ht="28" customHeight="1">
      <c r="B20" s="66" t="inlineStr">
        <is>
          <t>Util \ Multiple →</t>
        </is>
      </c>
      <c r="C20" s="67" t="inlineStr">
        <is>
          <t>10.0×</t>
        </is>
      </c>
      <c r="D20" s="67" t="inlineStr">
        <is>
          <t>11.0×</t>
        </is>
      </c>
      <c r="E20" s="67" t="inlineStr">
        <is>
          <t>12.0×</t>
        </is>
      </c>
      <c r="F20" s="67" t="inlineStr">
        <is>
          <t>13.5×</t>
        </is>
      </c>
      <c r="G20" s="67" t="inlineStr">
        <is>
          <t>14.0×</t>
        </is>
      </c>
      <c r="H20" s="67" t="inlineStr">
        <is>
          <t>15.0×</t>
        </is>
      </c>
      <c r="I20" s="67" t="inlineStr">
        <is>
          <t>16.0×</t>
        </is>
      </c>
    </row>
    <row r="21" ht="20" customHeight="1">
      <c r="B21" s="68" t="inlineStr">
        <is>
          <t>55%</t>
        </is>
      </c>
      <c r="C21" s="71" t="n">
        <v>630.2341154062688</v>
      </c>
      <c r="D21" s="71" t="n">
        <v>676.6143941264169</v>
      </c>
      <c r="E21" s="71" t="n">
        <v>722.9946728465652</v>
      </c>
      <c r="F21" s="71" t="n">
        <v>792.5650909267875</v>
      </c>
      <c r="G21" s="72" t="n">
        <v>815.7552302868617</v>
      </c>
      <c r="H21" s="72" t="n">
        <v>862.1355090070098</v>
      </c>
      <c r="I21" s="72" t="n">
        <v>908.5157877271581</v>
      </c>
    </row>
    <row r="22" ht="20" customHeight="1">
      <c r="B22" s="68" t="inlineStr">
        <is>
          <t>60%</t>
        </is>
      </c>
      <c r="C22" s="71" t="n">
        <v>694.9095012997277</v>
      </c>
      <c r="D22" s="71" t="n">
        <v>745.7528040865712</v>
      </c>
      <c r="E22" s="71" t="n">
        <v>796.5961068734146</v>
      </c>
      <c r="F22" s="72" t="n">
        <v>872.8610610536797</v>
      </c>
      <c r="G22" s="72" t="n">
        <v>898.2827124471014</v>
      </c>
      <c r="H22" s="72" t="n">
        <v>949.1260152339446</v>
      </c>
      <c r="I22" s="72" t="n">
        <v>999.9693180207881</v>
      </c>
    </row>
    <row r="23" ht="20" customHeight="1">
      <c r="B23" s="68" t="inlineStr">
        <is>
          <t>65%</t>
        </is>
      </c>
      <c r="C23" s="71" t="n">
        <v>759.5848871931867</v>
      </c>
      <c r="D23" s="72" t="n">
        <v>814.8912140467253</v>
      </c>
      <c r="E23" s="72" t="n">
        <v>870.1975409002639</v>
      </c>
      <c r="F23" s="72" t="n">
        <v>953.1570311805719</v>
      </c>
      <c r="G23" s="72" t="n">
        <v>980.8101946073411</v>
      </c>
      <c r="H23" s="72" t="n">
        <v>1036.11652146088</v>
      </c>
      <c r="I23" s="72" t="n">
        <v>1091.422848314418</v>
      </c>
    </row>
    <row r="24" ht="20" customHeight="1">
      <c r="B24" s="68" t="inlineStr">
        <is>
          <t>70%</t>
        </is>
      </c>
      <c r="C24" s="72" t="n">
        <v>824.2602730866456</v>
      </c>
      <c r="D24" s="72" t="n">
        <v>884.0296240068794</v>
      </c>
      <c r="E24" s="72" t="n">
        <v>943.7989749271132</v>
      </c>
      <c r="F24" s="72" t="n">
        <v>1033.453001307464</v>
      </c>
      <c r="G24" s="72" t="n">
        <v>1063.337676767581</v>
      </c>
      <c r="H24" s="72" t="n">
        <v>1123.107027687815</v>
      </c>
      <c r="I24" s="72" t="n">
        <v>1182.876378608049</v>
      </c>
    </row>
    <row r="25" ht="20" customHeight="1">
      <c r="B25" s="68" t="inlineStr">
        <is>
          <t>77%</t>
        </is>
      </c>
      <c r="C25" s="72" t="n">
        <v>914.8058133374882</v>
      </c>
      <c r="D25" s="72" t="n">
        <v>980.8233979510953</v>
      </c>
      <c r="E25" s="72" t="n">
        <v>1046.840982564702</v>
      </c>
      <c r="F25" s="73" t="n">
        <v>1145.867359485113</v>
      </c>
      <c r="G25" s="72" t="n">
        <v>1178.876151791917</v>
      </c>
      <c r="H25" s="72" t="n">
        <v>1244.893736405524</v>
      </c>
      <c r="I25" s="72" t="n">
        <v>1310.911321019131</v>
      </c>
    </row>
    <row r="26" ht="20" customHeight="1">
      <c r="B26" s="68" t="inlineStr">
        <is>
          <t>80%</t>
        </is>
      </c>
      <c r="C26" s="72" t="n">
        <v>953.6110448735633</v>
      </c>
      <c r="D26" s="72" t="n">
        <v>1022.306443927188</v>
      </c>
      <c r="E26" s="72" t="n">
        <v>1091.001842980812</v>
      </c>
      <c r="F26" s="72" t="n">
        <v>1194.044941561248</v>
      </c>
      <c r="G26" s="72" t="n">
        <v>1228.39264108806</v>
      </c>
      <c r="H26" s="72" t="n">
        <v>1297.088040141685</v>
      </c>
      <c r="I26" s="72" t="n">
        <v>1365.783439195309</v>
      </c>
    </row>
    <row r="27" ht="20" customHeight="1">
      <c r="B27" s="68" t="inlineStr">
        <is>
          <t>85%</t>
        </is>
      </c>
      <c r="C27" s="72" t="n">
        <v>1018.286430767022</v>
      </c>
      <c r="D27" s="72" t="n">
        <v>1091.444853887342</v>
      </c>
      <c r="E27" s="72" t="n">
        <v>1164.603277007661</v>
      </c>
      <c r="F27" s="72" t="n">
        <v>1274.340911688141</v>
      </c>
      <c r="G27" s="72" t="n">
        <v>1310.9201232483</v>
      </c>
      <c r="H27" s="72" t="n">
        <v>1384.07854636862</v>
      </c>
      <c r="I27" s="72" t="n">
        <v>1457.236969488939</v>
      </c>
    </row>
    <row r="28" ht="20" customHeight="1">
      <c r="B28" s="68" t="inlineStr">
        <is>
          <t>90%</t>
        </is>
      </c>
      <c r="C28" s="72" t="n">
        <v>1082.961816660481</v>
      </c>
      <c r="D28" s="72" t="n">
        <v>1160.583263847496</v>
      </c>
      <c r="E28" s="72" t="n">
        <v>1238.204711034511</v>
      </c>
      <c r="F28" s="72" t="n">
        <v>1354.636881815033</v>
      </c>
      <c r="G28" s="72" t="n">
        <v>1393.44760540854</v>
      </c>
      <c r="H28" s="72" t="n">
        <v>1471.069052595555</v>
      </c>
      <c r="I28" s="72" t="n">
        <v>1548.690499782569</v>
      </c>
    </row>
    <row r="29" ht="20" customHeight="1">
      <c r="B29" s="68" t="inlineStr">
        <is>
          <t>95%</t>
        </is>
      </c>
      <c r="C29" s="72" t="n">
        <v>1147.63720255394</v>
      </c>
      <c r="D29" s="72" t="n">
        <v>1229.72167380765</v>
      </c>
      <c r="E29" s="72" t="n">
        <v>1311.80614506136</v>
      </c>
      <c r="F29" s="72" t="n">
        <v>1434.932851941925</v>
      </c>
      <c r="G29" s="72" t="n">
        <v>1475.97508756878</v>
      </c>
      <c r="H29" s="72" t="n">
        <v>1558.05955882249</v>
      </c>
      <c r="I29" s="72" t="n">
        <v>1640.1440300762</v>
      </c>
    </row>
    <row r="31" ht="22" customHeight="1">
      <c r="A31" s="65" t="inlineStr">
        <is>
          <t>SENSITIVITY INTERPRETATION GUIDE  (USD)</t>
        </is>
      </c>
    </row>
    <row r="32" ht="20" customHeight="1">
      <c r="B32" s="74" t="inlineStr">
        <is>
          <t>Base Case (77% × 13.5×)</t>
        </is>
      </c>
      <c r="C32" s="75" t="inlineStr">
        <is>
          <t>Thick blue border in both tables.  77% = contracted take-or-pay floor only (no merchant upside).  13.5× = modest discount to listed APAC infra peers.  Base case NPV: USD $1188M — confirms strong value creation above 12.5% WACC.</t>
        </is>
      </c>
      <c r="D32" s="76" t="n"/>
      <c r="E32" s="76" t="n"/>
      <c r="F32" s="76" t="n"/>
      <c r="G32" s="76" t="n"/>
      <c r="H32" s="76" t="n"/>
      <c r="I32" s="76" t="n"/>
      <c r="J32" s="76" t="n"/>
      <c r="K32" s="76" t="n"/>
      <c r="L32" s="77" t="n"/>
    </row>
    <row r="33" ht="20" customHeight="1">
      <c r="B33" s="74" t="inlineStr">
        <is>
          <t>High IRR Context</t>
        </is>
      </c>
      <c r="C33" s="75" t="inlineStr">
        <is>
          <t>Unlevered IRR of 100–300%+ reflects the capital-light structure: Technology Provider credit support eliminates ~$260M USD of upfront GPU CapEx.  Initial FCFF outflow is only $62M vs $100M+ EBITDA from Year 2.  This is the commercial rationale for the deal — it is NOT a modelling error.</t>
        </is>
      </c>
      <c r="D33" s="76" t="n"/>
      <c r="E33" s="76" t="n"/>
      <c r="F33" s="76" t="n"/>
      <c r="G33" s="76" t="n"/>
      <c r="H33" s="76" t="n"/>
      <c r="I33" s="76" t="n"/>
      <c r="J33" s="76" t="n"/>
      <c r="K33" s="76" t="n"/>
      <c r="L33" s="77" t="n"/>
    </row>
    <row r="34" ht="20" customHeight="1">
      <c r="B34" s="74" t="inlineStr">
        <is>
          <t>Contract Floor Protection</t>
        </is>
      </c>
      <c r="C34" s="75" t="inlineStr">
        <is>
          <t>Scan the 77% utilisation row in Table B: even at the 10× distressed exit multiple, NPV remains strongly positive.  The take-or-pay structure is the primary risk mitigant for the equity sponsor.</t>
        </is>
      </c>
      <c r="D34" s="76" t="n"/>
      <c r="E34" s="76" t="n"/>
      <c r="F34" s="76" t="n"/>
      <c r="G34" s="76" t="n"/>
      <c r="H34" s="76" t="n"/>
      <c r="I34" s="76" t="n"/>
      <c r="J34" s="76" t="n"/>
      <c r="K34" s="76" t="n"/>
      <c r="L34" s="77" t="n"/>
    </row>
    <row r="35" ht="20" customHeight="1">
      <c r="B35" s="74" t="inlineStr">
        <is>
          <t>Power Rate Sensitivity</t>
        </is>
      </c>
      <c r="C35" s="75" t="inlineStr">
        <is>
          <t>Power cost is $0.065 USD/kWh base.  A 10% increase in the power rate reduces EBITDA by ~$3M p.a. at steady-state utilisation — material but well within EBITDA coverage.  Consider adding a power escalation toggle for multi-year stress testing.</t>
        </is>
      </c>
      <c r="D35" s="76" t="n"/>
      <c r="E35" s="76" t="n"/>
      <c r="F35" s="76" t="n"/>
      <c r="G35" s="76" t="n"/>
      <c r="H35" s="76" t="n"/>
      <c r="I35" s="76" t="n"/>
      <c r="J35" s="76" t="n"/>
      <c r="K35" s="76" t="n"/>
      <c r="L35" s="77" t="n"/>
    </row>
    <row r="36" ht="20" customHeight="1">
      <c r="B36" s="74" t="inlineStr">
        <is>
          <t>TV Method Comparison</t>
        </is>
      </c>
      <c r="C36" s="75" t="inlineStr">
        <is>
          <t>Perpetuity TV ($765M) is significantly below Exit Multiple TV ($1880M base).  Use Exit Multiple as primary; Perpetuity is the stress-test floor for long-hold scenarios.</t>
        </is>
      </c>
      <c r="D36" s="76" t="n"/>
      <c r="E36" s="76" t="n"/>
      <c r="F36" s="76" t="n"/>
      <c r="G36" s="76" t="n"/>
      <c r="H36" s="76" t="n"/>
      <c r="I36" s="76" t="n"/>
      <c r="J36" s="76" t="n"/>
      <c r="K36" s="76" t="n"/>
      <c r="L36" s="77" t="n"/>
    </row>
  </sheetData>
  <mergeCells count="10">
    <mergeCell ref="A2:L2"/>
    <mergeCell ref="A7:L7"/>
    <mergeCell ref="A19:L19"/>
    <mergeCell ref="C36:L36"/>
    <mergeCell ref="A1:L1"/>
    <mergeCell ref="A31:L31"/>
    <mergeCell ref="C35:L35"/>
    <mergeCell ref="C34:L34"/>
    <mergeCell ref="C32:L32"/>
    <mergeCell ref="C33:L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78" t="inlineStr">
        <is>
          <t>CASH FLOW WATERFALL SUMMARY  –  72MW SPV  (USD)</t>
        </is>
      </c>
    </row>
    <row r="2" ht="20" customHeight="1">
      <c r="A2" s="26" t="inlineStr">
        <is>
          <t>METRIC (USD)</t>
        </is>
      </c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  <c r="G2" s="27" t="inlineStr">
        <is>
          <t>Year 6</t>
        </is>
      </c>
    </row>
    <row r="3" ht="18" customHeight="1">
      <c r="A3" s="79" t="inlineStr">
        <is>
          <t>Gross AI Cloud Revenue (USD)</t>
        </is>
      </c>
      <c r="B3" s="80" t="n">
        <v>84096000</v>
      </c>
      <c r="C3" s="80" t="n">
        <v>215846400</v>
      </c>
      <c r="D3" s="80" t="n">
        <v>215846400</v>
      </c>
      <c r="E3" s="80" t="n">
        <v>224256000</v>
      </c>
      <c r="F3" s="80" t="n">
        <v>224256000</v>
      </c>
      <c r="G3" s="80" t="n">
        <v>224256000</v>
      </c>
    </row>
    <row r="4" ht="18" customHeight="1">
      <c r="A4" s="31" t="inlineStr">
        <is>
          <t>(–) Tech Provider Rev Share 25%</t>
        </is>
      </c>
      <c r="B4" s="32" t="n">
        <v>-21024000</v>
      </c>
      <c r="C4" s="32" t="n">
        <v>-53961600</v>
      </c>
      <c r="D4" s="32" t="n">
        <v>-53961600</v>
      </c>
      <c r="E4" s="32" t="n">
        <v>-56064000</v>
      </c>
      <c r="F4" s="32" t="n">
        <v>-56064000</v>
      </c>
      <c r="G4" s="32" t="n">
        <v>-56064000</v>
      </c>
    </row>
    <row r="5" ht="18" customHeight="1">
      <c r="A5" s="31" t="inlineStr">
        <is>
          <t>(–) Power &amp; Colocation Costs (USD)</t>
        </is>
      </c>
      <c r="B5" s="32" t="n">
        <v>-8785029</v>
      </c>
      <c r="C5" s="32" t="n">
        <v>-22548240</v>
      </c>
      <c r="D5" s="32" t="n">
        <v>-22548240</v>
      </c>
      <c r="E5" s="32" t="n">
        <v>-23426743</v>
      </c>
      <c r="F5" s="32" t="n">
        <v>-23426743</v>
      </c>
      <c r="G5" s="32" t="n">
        <v>-23426743</v>
      </c>
    </row>
    <row r="6" ht="18" customHeight="1">
      <c r="A6" s="31" t="inlineStr">
        <is>
          <t>(–) Facility Maintenance (USD)</t>
        </is>
      </c>
      <c r="B6" s="32" t="n">
        <v>-2500000</v>
      </c>
      <c r="C6" s="32" t="n">
        <v>-5500000</v>
      </c>
      <c r="D6" s="32" t="n">
        <v>-5500000</v>
      </c>
      <c r="E6" s="32" t="n">
        <v>-5500000</v>
      </c>
      <c r="F6" s="32" t="n">
        <v>-5500000</v>
      </c>
      <c r="G6" s="32" t="n">
        <v>-5500000</v>
      </c>
    </row>
    <row r="7" ht="18" customHeight="1">
      <c r="A7" s="35" t="inlineStr">
        <is>
          <t>PROJECT EBITDA (USD)</t>
        </is>
      </c>
      <c r="B7" s="36" t="n">
        <v>51786971</v>
      </c>
      <c r="C7" s="36" t="n">
        <v>133836560</v>
      </c>
      <c r="D7" s="36" t="n">
        <v>133836560</v>
      </c>
      <c r="E7" s="36" t="n">
        <v>139265257</v>
      </c>
      <c r="F7" s="36" t="n">
        <v>139265257</v>
      </c>
      <c r="G7" s="36" t="n">
        <v>139265257</v>
      </c>
    </row>
    <row r="8" ht="18" customHeight="1">
      <c r="A8" s="11" t="inlineStr">
        <is>
          <t>(–) Depreciation &amp; Amortisation</t>
        </is>
      </c>
      <c r="B8" s="37" t="n">
        <v>-18100000</v>
      </c>
      <c r="C8" s="37" t="n">
        <v>-32500000</v>
      </c>
      <c r="D8" s="37" t="n">
        <v>-32500000</v>
      </c>
      <c r="E8" s="37" t="n">
        <v>-32500000</v>
      </c>
      <c r="F8" s="37" t="n">
        <v>-18100000</v>
      </c>
      <c r="G8" s="37" t="n">
        <v>-13000000</v>
      </c>
    </row>
    <row r="9" ht="18" customHeight="1">
      <c r="A9" s="38" t="inlineStr">
        <is>
          <t>PROJECT EBIT (USD)</t>
        </is>
      </c>
      <c r="B9" s="39" t="n">
        <v>33686971</v>
      </c>
      <c r="C9" s="39" t="n">
        <v>101336560</v>
      </c>
      <c r="D9" s="39" t="n">
        <v>101336560</v>
      </c>
      <c r="E9" s="39" t="n">
        <v>106765257</v>
      </c>
      <c r="F9" s="39" t="n">
        <v>121165257</v>
      </c>
      <c r="G9" s="39" t="n">
        <v>126265257</v>
      </c>
    </row>
    <row r="10" ht="18" customHeight="1">
      <c r="A10" s="11" t="inlineStr">
        <is>
          <t>(–) Tax Charge  30% (AUS SPV)</t>
        </is>
      </c>
      <c r="B10" s="37" t="n">
        <v>-10106091</v>
      </c>
      <c r="C10" s="37" t="n">
        <v>-30400968</v>
      </c>
      <c r="D10" s="37" t="n">
        <v>-30400968</v>
      </c>
      <c r="E10" s="37" t="n">
        <v>-32029577</v>
      </c>
      <c r="F10" s="37" t="n">
        <v>-36349577</v>
      </c>
      <c r="G10" s="37" t="n">
        <v>-37879577</v>
      </c>
    </row>
    <row r="11" ht="18" customHeight="1">
      <c r="A11" s="11" t="inlineStr">
        <is>
          <t>(+) D&amp;A Addback  (non-cash)</t>
        </is>
      </c>
      <c r="B11" s="40" t="n">
        <v>18100000</v>
      </c>
      <c r="C11" s="40" t="n">
        <v>32500000</v>
      </c>
      <c r="D11" s="40" t="n">
        <v>32500000</v>
      </c>
      <c r="E11" s="40" t="n">
        <v>32500000</v>
      </c>
      <c r="F11" s="40" t="n">
        <v>18100000</v>
      </c>
      <c r="G11" s="40" t="n">
        <v>13000000</v>
      </c>
    </row>
    <row r="12" ht="18" customHeight="1">
      <c r="A12" s="11" t="inlineStr">
        <is>
          <t>(±) Change in Net Working Capital</t>
        </is>
      </c>
      <c r="B12" s="37" t="n">
        <v>-2000000</v>
      </c>
      <c r="C12" s="37" t="n">
        <v>-3250000</v>
      </c>
      <c r="D12" s="37" t="n">
        <v>-1300000</v>
      </c>
      <c r="E12" s="40" t="n">
        <v>0</v>
      </c>
      <c r="F12" s="40" t="n">
        <v>0</v>
      </c>
      <c r="G12" s="40" t="n">
        <v>0</v>
      </c>
    </row>
    <row r="13" ht="18" customHeight="1">
      <c r="A13" s="31" t="inlineStr">
        <is>
          <t>(–) Capital Expenditure (USD)</t>
        </is>
      </c>
      <c r="B13" s="32" t="n">
        <v>-62000000</v>
      </c>
      <c r="C13" s="32" t="n">
        <v>-10000000</v>
      </c>
      <c r="D13" s="32" t="n">
        <v>-10000000</v>
      </c>
      <c r="E13" s="32" t="n">
        <v>-30000000</v>
      </c>
      <c r="F13" s="32" t="n">
        <v>-10000000</v>
      </c>
      <c r="G13" s="32" t="n">
        <v>-10000000</v>
      </c>
    </row>
    <row r="14" ht="18" customHeight="1">
      <c r="A14" s="41" t="inlineStr">
        <is>
          <t>UNLEVERED FCF  (FCFF, USD)</t>
        </is>
      </c>
      <c r="B14" s="42" t="n">
        <v>-22319120</v>
      </c>
      <c r="C14" s="43" t="n">
        <v>90185592</v>
      </c>
      <c r="D14" s="43" t="n">
        <v>92135592</v>
      </c>
      <c r="E14" s="43" t="n">
        <v>77235680</v>
      </c>
      <c r="F14" s="43" t="n">
        <v>92915680</v>
      </c>
      <c r="G14" s="43" t="n">
        <v>91385680</v>
      </c>
    </row>
    <row r="15" ht="18" customHeight="1">
      <c r="A15" s="31" t="inlineStr">
        <is>
          <t>(–) Debt Interest  (post-tax, USD)</t>
        </is>
      </c>
      <c r="B15" s="32" t="n">
        <v>-910000</v>
      </c>
      <c r="C15" s="32" t="n">
        <v>-1228500</v>
      </c>
      <c r="D15" s="32" t="n">
        <v>-864500</v>
      </c>
      <c r="E15" s="32" t="n">
        <v>-1137500</v>
      </c>
      <c r="F15" s="32" t="n">
        <v>-1137500</v>
      </c>
      <c r="G15" s="32" t="n">
        <v>-546000</v>
      </c>
    </row>
    <row r="16" ht="18" customHeight="1">
      <c r="A16" s="45" t="inlineStr">
        <is>
          <t>(+) Debt Facility Drawdowns (USD)</t>
        </is>
      </c>
      <c r="B16" s="46" t="n">
        <v>20000000</v>
      </c>
      <c r="C16" s="46" t="n">
        <v>7000000</v>
      </c>
      <c r="D16" s="46" t="n">
        <v>0</v>
      </c>
      <c r="E16" s="46" t="n">
        <v>16000000</v>
      </c>
      <c r="F16" s="46" t="n">
        <v>0</v>
      </c>
      <c r="G16" s="46" t="n">
        <v>0</v>
      </c>
    </row>
    <row r="17" ht="18" customHeight="1">
      <c r="A17" s="31" t="inlineStr">
        <is>
          <t>(–) Debt Repayments (USD)</t>
        </is>
      </c>
      <c r="B17" s="47" t="n">
        <v>0</v>
      </c>
      <c r="C17" s="32" t="n">
        <v>-8000000</v>
      </c>
      <c r="D17" s="32" t="n">
        <v>-10000000</v>
      </c>
      <c r="E17" s="47" t="n">
        <v>0</v>
      </c>
      <c r="F17" s="32" t="n">
        <v>-13000000</v>
      </c>
      <c r="G17" s="32" t="n">
        <v>-12000000</v>
      </c>
    </row>
    <row r="18" ht="18" customHeight="1">
      <c r="A18" s="48" t="inlineStr">
        <is>
          <t>LEVERED FCF  (FCFE, USD)</t>
        </is>
      </c>
      <c r="B18" s="49" t="n">
        <v>-3229120</v>
      </c>
      <c r="C18" s="50" t="n">
        <v>87957092</v>
      </c>
      <c r="D18" s="50" t="n">
        <v>81271092</v>
      </c>
      <c r="E18" s="50" t="n">
        <v>92098180</v>
      </c>
      <c r="F18" s="50" t="n">
        <v>78778180</v>
      </c>
      <c r="G18" s="50" t="n">
        <v>78839680</v>
      </c>
    </row>
    <row r="21" ht="22" customHeight="1">
      <c r="A21" s="81" t="inlineStr">
        <is>
          <t>PROJECT RETURN SUMMARY  (USD)</t>
        </is>
      </c>
    </row>
    <row r="22" ht="20" customHeight="1">
      <c r="A22" s="74" t="inlineStr">
        <is>
          <t>Non-Leveraged Project IRR  (FCFF + TV 13.5×, USD)</t>
        </is>
      </c>
      <c r="B22" s="82" t="inlineStr">
        <is>
          <t>413.4%</t>
        </is>
      </c>
      <c r="C22" s="10" t="n"/>
      <c r="D22" s="10" t="n"/>
      <c r="E22" s="10" t="n"/>
      <c r="F22" s="10" t="n"/>
      <c r="G22" s="4" t="n"/>
    </row>
    <row r="23" ht="20" customHeight="1">
      <c r="A23" s="74" t="inlineStr">
        <is>
          <t>Leveraged Equity IRR       (FCFE + TV 13.5×, USD)</t>
        </is>
      </c>
      <c r="B23" s="83" t="inlineStr">
        <is>
          <t>2717.0%</t>
        </is>
      </c>
      <c r="C23" s="10" t="n"/>
      <c r="D23" s="10" t="n"/>
      <c r="E23" s="10" t="n"/>
      <c r="F23" s="10" t="n"/>
      <c r="G23" s="4" t="n"/>
    </row>
    <row r="24" ht="20" customHeight="1">
      <c r="A24" s="74" t="inlineStr">
        <is>
          <t>Project NPV at WACC 12.5%  (Unlevered, USD)</t>
        </is>
      </c>
      <c r="B24" s="84" t="inlineStr">
        <is>
          <t>USD $1188M</t>
        </is>
      </c>
      <c r="C24" s="10" t="n"/>
      <c r="D24" s="10" t="n"/>
      <c r="E24" s="10" t="n"/>
      <c r="F24" s="10" t="n"/>
      <c r="G24" s="4" t="n"/>
    </row>
    <row r="25" ht="20" customHeight="1">
      <c r="A25" s="74" t="inlineStr">
        <is>
          <t>TV — Exit Multiple Downside (10.0×, USD)</t>
        </is>
      </c>
      <c r="B25" s="85" t="inlineStr">
        <is>
          <t>USD $1393M</t>
        </is>
      </c>
      <c r="C25" s="10" t="n"/>
      <c r="D25" s="10" t="n"/>
      <c r="E25" s="10" t="n"/>
      <c r="F25" s="10" t="n"/>
      <c r="G25" s="4" t="n"/>
    </row>
    <row r="26" ht="20" customHeight="1">
      <c r="A26" s="74" t="inlineStr">
        <is>
          <t>TV — Exit Multiple Base    (13.5×, USD)</t>
        </is>
      </c>
      <c r="B26" s="86" t="inlineStr">
        <is>
          <t>USD $1880M</t>
        </is>
      </c>
      <c r="C26" s="10" t="n"/>
      <c r="D26" s="10" t="n"/>
      <c r="E26" s="10" t="n"/>
      <c r="F26" s="10" t="n"/>
      <c r="G26" s="4" t="n"/>
    </row>
    <row r="27" ht="20" customHeight="1">
      <c r="A27" s="74" t="inlineStr">
        <is>
          <t>TV — Exit Multiple Upside  (16.0×, USD)</t>
        </is>
      </c>
      <c r="B27" s="82" t="inlineStr">
        <is>
          <t>USD $2228M</t>
        </is>
      </c>
      <c r="C27" s="10" t="n"/>
      <c r="D27" s="10" t="n"/>
      <c r="E27" s="10" t="n"/>
      <c r="F27" s="10" t="n"/>
      <c r="G27" s="4" t="n"/>
    </row>
    <row r="28" ht="20" customHeight="1">
      <c r="A28" s="74" t="inlineStr">
        <is>
          <t>TV — Perpetuity Growth     (g=0.5%, USD)</t>
        </is>
      </c>
      <c r="B28" s="84" t="inlineStr">
        <is>
          <t>USD $765M</t>
        </is>
      </c>
      <c r="C28" s="10" t="n"/>
      <c r="D28" s="10" t="n"/>
      <c r="E28" s="10" t="n"/>
      <c r="F28" s="10" t="n"/>
      <c r="G28" s="4" t="n"/>
    </row>
  </sheetData>
  <mergeCells count="9">
    <mergeCell ref="B24:G24"/>
    <mergeCell ref="A21:H21"/>
    <mergeCell ref="B28:G28"/>
    <mergeCell ref="B22:G22"/>
    <mergeCell ref="B23:G23"/>
    <mergeCell ref="B27:G27"/>
    <mergeCell ref="B26:G26"/>
    <mergeCell ref="A1:H1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2026-06-14T05:07:43Z</dcterms:created>
  <dcterms:modified xsi:type="dcterms:W3CDTF">2026-06-14T05:07:43Z</dcterms:modified>
</cp:coreProperties>
</file>